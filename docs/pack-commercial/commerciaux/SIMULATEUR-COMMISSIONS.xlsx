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" sheetId="1" state="visible" r:id="rId3"/>
    <sheet name="Simulation commercial" sheetId="2" state="visible" r:id="rId4"/>
    <sheet name="Rentabilité MY EASY AUTO" sheetId="3" state="visible" r:id="rId5"/>
    <sheet name="Suivi prospects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3" authorId="0">
      <text>
        <r>
          <rPr>
            <sz val="10"/>
            <rFont val="Arial"/>
            <family val="2"/>
          </rPr>
          <t xml:space="preserve">Ne sert que si une prime de fidélité est réintroduite (colonne E).</t>
        </r>
      </text>
    </comment>
    <comment ref="G14" authorId="0">
      <text>
        <r>
          <rPr>
            <sz val="10"/>
            <rFont val="Arial"/>
            <family val="2"/>
          </rPr>
          <t xml:space="preserve">17 € / h au démarrage, négociable (cf. note de stratégie tarifaire). Remplace l'ancienne rétrocession de 65 %.</t>
        </r>
      </text>
    </comment>
    <comment ref="G15" authorId="0">
      <text>
        <r>
          <rPr>
            <sz val="10"/>
            <rFont val="Arial"/>
            <family val="2"/>
          </rPr>
          <t xml:space="preserve">Cf. note de stratégie tarifaire (~25 € / garage / mois).</t>
        </r>
      </text>
    </comment>
    <comment ref="G16" authorId="0">
      <text>
        <r>
          <rPr>
            <sz val="10"/>
            <rFont val="Arial"/>
            <family val="2"/>
          </rPr>
          <t xml:space="preserve">Hypothèse commerciale : 60 % des garages acceptent l'engagement (mise en service offerte).</t>
        </r>
      </text>
    </comment>
    <comment ref="G17" authorId="0">
      <text>
        <r>
          <rPr>
            <sz val="10"/>
            <rFont val="Arial"/>
            <family val="2"/>
          </rPr>
          <t xml:space="preserve">Acquise à la 2e mensualité, payée sur la facture du mois suivant → encaissée ~2 mois après signature.</t>
        </r>
      </text>
    </comment>
    <comment ref="G18" authorId="0">
      <text>
        <r>
          <rPr>
            <sz val="10"/>
            <rFont val="Arial"/>
            <family val="2"/>
          </rPr>
          <t xml:space="preserve">Acquise à la 6e mensualité.</t>
        </r>
      </text>
    </comment>
  </commentList>
</comments>
</file>

<file path=xl/sharedStrings.xml><?xml version="1.0" encoding="utf-8"?>
<sst xmlns="http://schemas.openxmlformats.org/spreadsheetml/2006/main" count="135" uniqueCount="110">
  <si>
    <t xml:space="preserve">Simulateur de commissions — apporteurs d'affaires My Easy Auto</t>
  </si>
  <si>
    <t xml:space="preserve">Cellules JAUNES = à modifier. Tout le reste est calculé. Grille en vigueur au 1er septembre 2026 (MY EASY AUTO).</t>
  </si>
  <si>
    <t xml:space="preserve">Légende : jaune = hypothèse modifiable · bleu = valeur saisie · noir = formule</t>
  </si>
  <si>
    <t xml:space="preserve">Formule</t>
  </si>
  <si>
    <t xml:space="preserve">Prix HT / mois</t>
  </si>
  <si>
    <t xml:space="preserve">Heures Adhésion Service</t>
  </si>
  <si>
    <t xml:space="preserve">Prime de signature</t>
  </si>
  <si>
    <t xml:space="preserve">Prime de fidélité — supprimée (grille v1.2), laissée à 0</t>
  </si>
  <si>
    <t xml:space="preserve">Bonus engagement 12 mois</t>
  </si>
  <si>
    <t xml:space="preserve">Chargé de mission / mois (heures × taux)</t>
  </si>
  <si>
    <t xml:space="preserve">Coût technique / mois</t>
  </si>
  <si>
    <t xml:space="preserve">ESSENTIEL</t>
  </si>
  <si>
    <t xml:space="preserve">ADHÉSION SERVICE PLUS</t>
  </si>
  <si>
    <t xml:space="preserve">ADHÉSION SERVICE PREMIUM</t>
  </si>
  <si>
    <t xml:space="preserve">ADHÉSION SERVICE ULTIMATE</t>
  </si>
  <si>
    <t xml:space="preserve">Hypothèses générales</t>
  </si>
  <si>
    <t xml:space="preserve">Taux de conservation des garages à M6</t>
  </si>
  <si>
    <t xml:space="preserve">Taux horaire versé au chargé de mission (€ HT / heure de forfait)</t>
  </si>
  <si>
    <t xml:space="preserve">Coût technique par garage et par mois (hébergement, IA, emails)</t>
  </si>
  <si>
    <t xml:space="preserve">Part des devis signés avec engagement 12 mois</t>
  </si>
  <si>
    <t xml:space="preserve">Délai avant paiement de la prime (mois après signature) — v1.3 : 1 avec engagement 12 mois, 3 sans engagement</t>
  </si>
  <si>
    <t xml:space="preserve">Délai avant paiement de la prime de fidélité (mois après signature)</t>
  </si>
  <si>
    <t xml:space="preserve">Bonus de volume trimestriel (hors ESSENTIEL, non cumulables)</t>
  </si>
  <si>
    <t xml:space="preserve">Palier</t>
  </si>
  <si>
    <t xml:space="preserve">Contrats dans le trimestre</t>
  </si>
  <si>
    <t xml:space="preserve">Bonus</t>
  </si>
  <si>
    <t xml:space="preserve">Palier 1</t>
  </si>
  <si>
    <t xml:space="preserve">Palier 2</t>
  </si>
  <si>
    <t xml:space="preserve">Source des prix et du taux horaire : NOTE-STRATEGIE-TARIFAIRE et MYEASYAUTO_modele_rentabilite.xlsx (docs/pack-commercial). Commissions : grille apporteurs v1.3, en vigueur au 1er septembre 2026 (une prime unique par garage ; versée dès la 1re mensualité si engagement 12 mois, à la 3e sinon ; reprise si arrêt avant 3 mensualités).</t>
  </si>
  <si>
    <t xml:space="preserve">Ce que gagne le commercial selon son rythme</t>
  </si>
  <si>
    <t xml:space="preserve">Saisissez vos signatures mensuelles par formule (jaune). Grille v1.3 : une prime par garage signé, versée dès la 1re mensualité encaissée avec engagement 12 mois (3e mensualité sans engagement) ; le délai retenu est celui de l'onglet Paramètres (G17).</t>
  </si>
  <si>
    <t xml:space="preserve">Signatures par mois</t>
  </si>
  <si>
    <t xml:space="preserve">Total / mois</t>
  </si>
  <si>
    <t xml:space="preserve">Nombre de contrats signés / mois</t>
  </si>
  <si>
    <t xml:space="preserve">Commissions générées par UN mois de signatures</t>
  </si>
  <si>
    <t xml:space="preserve">Poste</t>
  </si>
  <si>
    <t xml:space="preserve">Total</t>
  </si>
  <si>
    <t xml:space="preserve">Primes de signature</t>
  </si>
  <si>
    <t xml:space="preserve">Bonus engagement 12 mois (× part engagée)</t>
  </si>
  <si>
    <t xml:space="preserve">Primes de fidélité — supprimées (grille v1.2), à 0</t>
  </si>
  <si>
    <t xml:space="preserve">Total généré par un mois de signatures</t>
  </si>
  <si>
    <t xml:space="preserve">Trésorerie du commercial sur 24 mois (même rythme chaque mois)</t>
  </si>
  <si>
    <t xml:space="preserve">Les primes de signature arrivent avec le décalage indiqué dans Paramètres (G17), la fidélité avec G18. Le bonus de volume est calculé par trimestre civil sur les contrats hors Essentiel.</t>
  </si>
  <si>
    <t xml:space="preserve">Mois</t>
  </si>
  <si>
    <t xml:space="preserve">Signatures</t>
  </si>
  <si>
    <t xml:space="preserve">Primes de signature + bonus engagement perçus</t>
  </si>
  <si>
    <t xml:space="preserve">Primes de fidélité (supprimées, à 0)</t>
  </si>
  <si>
    <t xml:space="preserve">Bonus de volume</t>
  </si>
  <si>
    <t xml:space="preserve">Total perçu</t>
  </si>
  <si>
    <t xml:space="preserve">Cumul</t>
  </si>
  <si>
    <t xml:space="preserve">Perçu sur les 12 premiers mois</t>
  </si>
  <si>
    <t xml:space="preserve">Perçu sur la 2e année (régime de croisière)</t>
  </si>
  <si>
    <t xml:space="preserve">Revenu mensuel moyen en croisière</t>
  </si>
  <si>
    <t xml:space="preserve">Ce que rapporte un garage à MY EASY AUTO, commissions comprises</t>
  </si>
  <si>
    <t xml:space="preserve">Par formule, sur la première année (avec commission) puis en année 2 (sans commission). Toutes les hypothèses viennent de l'onglet Paramètres.</t>
  </si>
  <si>
    <t xml:space="preserve">Année 1 — par garage</t>
  </si>
  <si>
    <t xml:space="preserve">Chiffre d'affaires HT (12 mois)</t>
  </si>
  <si>
    <t xml:space="preserve">Chargé de mission (heures × taux horaire)</t>
  </si>
  <si>
    <t xml:space="preserve">Coûts techniques</t>
  </si>
  <si>
    <t xml:space="preserve">Commission apporteur : signature + bonus engagement (× part engagée)</t>
  </si>
  <si>
    <t xml:space="preserve">Commission apporteur : fidélité — supprimée, à 0</t>
  </si>
  <si>
    <t xml:space="preserve">Marge brute année 1 (avant coûts fixes et rémunération)</t>
  </si>
  <si>
    <t xml:space="preserve">Marge année 1 en % du CA</t>
  </si>
  <si>
    <t xml:space="preserve">Part de la marge reversée au commercial</t>
  </si>
  <si>
    <t xml:space="preserve">Année 2 et suivantes — par garage</t>
  </si>
  <si>
    <t xml:space="preserve">Chargé de mission + coûts techniques</t>
  </si>
  <si>
    <t xml:space="preserve">Marge brute année 2 (aucune commission)</t>
  </si>
  <si>
    <t xml:space="preserve">Vue portefeuille : avec le rythme saisi dans « Simulation commercial » pendant 12 mois</t>
  </si>
  <si>
    <t xml:space="preserve">Garages signés sur 12 mois</t>
  </si>
  <si>
    <t xml:space="preserve">Marge brute année 1 de ces garages (commissions déduites)</t>
  </si>
  <si>
    <t xml:space="preserve">Marge brute récurrente en année 2 (× taux de conservation)</t>
  </si>
  <si>
    <t xml:space="preserve">Lecture : la commission représente environ 13 % de la marge brute de la première année sur les formules Adhésion Service, et rien ensuite. Les coûts fixes d'MY EASY AUTO (~270 € / mois, cf. note stratégique) et la rémunération du dirigeant ne sont pas déduits ici.</t>
  </si>
  <si>
    <t xml:space="preserve">Suivi des prospects — à envoyer chaque vendredi à contact@myeasyauto.fr</t>
  </si>
  <si>
    <t xml:space="preserve">Une ligne par garage. Les colonnes « Étape » et « Formule » sont des listes déroulantes. La ligne 5 est un exemple à remplacer.</t>
  </si>
  <si>
    <t xml:space="preserve">Date 1er contact</t>
  </si>
  <si>
    <t xml:space="preserve">Garage</t>
  </si>
  <si>
    <t xml:space="preserve">Ville</t>
  </si>
  <si>
    <t xml:space="preserve">Contact (nom)</t>
  </si>
  <si>
    <t xml:space="preserve">Téléphone</t>
  </si>
  <si>
    <t xml:space="preserve">Email</t>
  </si>
  <si>
    <t xml:space="preserve">Dossiers sinistre / mois</t>
  </si>
  <si>
    <t xml:space="preserve">Qui fait l'administratif ?</t>
  </si>
  <si>
    <t xml:space="preserve">En attente chez les assurances (€)</t>
  </si>
  <si>
    <t xml:space="preserve">Étape</t>
  </si>
  <si>
    <t xml:space="preserve">Date déclaration lead</t>
  </si>
  <si>
    <t xml:space="preserve">Date démo</t>
  </si>
  <si>
    <t xml:space="preserve">Formule visée</t>
  </si>
  <si>
    <t xml:space="preserve">Engagement 12 mois</t>
  </si>
  <si>
    <t xml:space="preserve">Date signature</t>
  </si>
  <si>
    <t xml:space="preserve">Prochaine action</t>
  </si>
  <si>
    <t xml:space="preserve">Commentaires</t>
  </si>
  <si>
    <t xml:space="preserve">Tableau de bord</t>
  </si>
  <si>
    <t xml:space="preserve">2026-09-02</t>
  </si>
  <si>
    <t xml:space="preserve">Carrosserie Exemple</t>
  </si>
  <si>
    <t xml:space="preserve">Nanterre</t>
  </si>
  <si>
    <t xml:space="preserve">M. Martin</t>
  </si>
  <si>
    <t xml:space="preserve">06 00 00 00 00</t>
  </si>
  <si>
    <t xml:space="preserve">contact@carrosserie-exemple.fr</t>
  </si>
  <si>
    <t xml:space="preserve">Le patron, le soir</t>
  </si>
  <si>
    <t xml:space="preserve">Démo planifiée</t>
  </si>
  <si>
    <t xml:space="preserve">2026-09-03</t>
  </si>
  <si>
    <t xml:space="preserve">2026-09-10</t>
  </si>
  <si>
    <t xml:space="preserve">Oui</t>
  </si>
  <si>
    <t xml:space="preserve">Rappeler après la démo</t>
  </si>
  <si>
    <t xml:space="preserve">Personne chargée de l'administratif partie en juin, 3 factures AXA &gt; 90 jours</t>
  </si>
  <si>
    <t xml:space="preserve">Garages contactés</t>
  </si>
  <si>
    <t xml:space="preserve">Prospects qualifiés (au-delà de « Contacté »)</t>
  </si>
  <si>
    <t xml:space="preserve">Leads déclarés</t>
  </si>
  <si>
    <t xml:space="preserve">Démos planifiées ou faites</t>
  </si>
  <si>
    <t xml:space="preserve">Taux de signature / contactés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</si>
</sst>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[RED]\-#,##0&quot; €&quot;;\-"/>
    <numFmt numFmtId="166" formatCode="0"/>
    <numFmt numFmtId="167" formatCode="#,##0.00&quot; €&quot;;[RED]\-#,##0.00&quot; €&quot;;\-"/>
    <numFmt numFmtId="168" formatCode="0%"/>
    <numFmt numFmtId="169" formatCode="&quot;Mois &quot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233"/>
      <name val="Arial"/>
      <family val="0"/>
      <charset val="1"/>
    </font>
    <font>
      <i val="true"/>
      <sz val="9"/>
      <color rgb="FF5B6078"/>
      <name val="Arial"/>
      <family val="0"/>
      <charset val="1"/>
    </font>
    <font>
      <sz val="9"/>
      <color rgb="FF5B60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2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E2233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CE7F3"/>
        <bgColor rgb="FFE4E6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6F0"/>
      </left>
      <right style="thin">
        <color rgb="FFE4E6F0"/>
      </right>
      <top style="thin">
        <color rgb="FFE4E6F0"/>
      </top>
      <bottom style="thin">
        <color rgb="FFE4E6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CE7F3"/>
      <rgbColor rgb="FFE4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5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customFormat="false" ht="15" hidden="false" customHeight="false" outlineLevel="0" collapsed="false">
      <c r="A7" s="5" t="s">
        <v>11</v>
      </c>
      <c r="B7" s="6" t="n">
        <v>79</v>
      </c>
      <c r="C7" s="7" t="n">
        <v>0</v>
      </c>
      <c r="D7" s="6" t="n">
        <v>130</v>
      </c>
      <c r="E7" s="6" t="n">
        <v>0</v>
      </c>
      <c r="F7" s="6" t="n">
        <v>40</v>
      </c>
      <c r="G7" s="8" t="n">
        <f aca="false">C7*$G$14</f>
        <v>0</v>
      </c>
      <c r="H7" s="9" t="n">
        <f aca="false">$G$15</f>
        <v>25</v>
      </c>
    </row>
    <row r="8" customFormat="false" ht="15" hidden="false" customHeight="false" outlineLevel="0" collapsed="false">
      <c r="A8" s="5" t="s">
        <v>12</v>
      </c>
      <c r="B8" s="6" t="n">
        <v>490</v>
      </c>
      <c r="C8" s="7" t="n">
        <v>10</v>
      </c>
      <c r="D8" s="6" t="n">
        <v>415</v>
      </c>
      <c r="E8" s="6" t="n">
        <v>0</v>
      </c>
      <c r="F8" s="6" t="n">
        <v>85</v>
      </c>
      <c r="G8" s="8" t="n">
        <f aca="false">C8*$G$14</f>
        <v>170</v>
      </c>
      <c r="H8" s="9" t="n">
        <f aca="false">$G$15</f>
        <v>25</v>
      </c>
    </row>
    <row r="9" customFormat="false" ht="15" hidden="false" customHeight="false" outlineLevel="0" collapsed="false">
      <c r="A9" s="5" t="s">
        <v>13</v>
      </c>
      <c r="B9" s="6" t="n">
        <v>860</v>
      </c>
      <c r="C9" s="7" t="n">
        <v>20</v>
      </c>
      <c r="D9" s="6" t="n">
        <v>730</v>
      </c>
      <c r="E9" s="6" t="n">
        <v>0</v>
      </c>
      <c r="F9" s="6" t="n">
        <v>85</v>
      </c>
      <c r="G9" s="8" t="n">
        <f aca="false">C9*$G$14</f>
        <v>340</v>
      </c>
      <c r="H9" s="9" t="n">
        <f aca="false">$G$15</f>
        <v>25</v>
      </c>
    </row>
    <row r="10" customFormat="false" ht="15" hidden="false" customHeight="false" outlineLevel="0" collapsed="false">
      <c r="A10" s="5" t="s">
        <v>14</v>
      </c>
      <c r="B10" s="6" t="n">
        <v>1570</v>
      </c>
      <c r="C10" s="7" t="n">
        <v>40</v>
      </c>
      <c r="D10" s="6" t="n">
        <v>1335</v>
      </c>
      <c r="E10" s="6" t="n">
        <v>0</v>
      </c>
      <c r="F10" s="6" t="n">
        <v>85</v>
      </c>
      <c r="G10" s="8" t="n">
        <f aca="false">C10*$G$14</f>
        <v>680</v>
      </c>
      <c r="H10" s="9" t="n">
        <f aca="false">$G$15</f>
        <v>25</v>
      </c>
    </row>
    <row r="12" customFormat="false" ht="15" hidden="false" customHeight="false" outlineLevel="0" collapsed="false">
      <c r="A12" s="10" t="s">
        <v>15</v>
      </c>
    </row>
    <row r="13" customFormat="false" ht="15" hidden="false" customHeight="false" outlineLevel="0" collapsed="false">
      <c r="A13" s="11" t="s">
        <v>16</v>
      </c>
      <c r="B13" s="11"/>
      <c r="C13" s="11"/>
      <c r="D13" s="11"/>
      <c r="E13" s="11"/>
      <c r="F13" s="11"/>
      <c r="G13" s="12" t="n">
        <v>0.85</v>
      </c>
    </row>
    <row r="14" customFormat="false" ht="15" hidden="false" customHeight="false" outlineLevel="0" collapsed="false">
      <c r="A14" s="11" t="s">
        <v>17</v>
      </c>
      <c r="B14" s="11"/>
      <c r="C14" s="11"/>
      <c r="D14" s="11"/>
      <c r="E14" s="11"/>
      <c r="F14" s="11"/>
      <c r="G14" s="6" t="n">
        <v>17</v>
      </c>
    </row>
    <row r="15" customFormat="false" ht="15" hidden="false" customHeight="false" outlineLevel="0" collapsed="false">
      <c r="A15" s="11" t="s">
        <v>18</v>
      </c>
      <c r="B15" s="11"/>
      <c r="C15" s="11"/>
      <c r="D15" s="11"/>
      <c r="E15" s="11"/>
      <c r="F15" s="11"/>
      <c r="G15" s="6" t="n">
        <v>25</v>
      </c>
    </row>
    <row r="16" customFormat="false" ht="15" hidden="false" customHeight="false" outlineLevel="0" collapsed="false">
      <c r="A16" s="11" t="s">
        <v>19</v>
      </c>
      <c r="B16" s="11"/>
      <c r="C16" s="11"/>
      <c r="D16" s="11"/>
      <c r="E16" s="11"/>
      <c r="F16" s="11"/>
      <c r="G16" s="12" t="n">
        <v>0.6</v>
      </c>
    </row>
    <row r="17" customFormat="false" ht="15" hidden="false" customHeight="false" outlineLevel="0" collapsed="false">
      <c r="A17" s="11" t="s">
        <v>20</v>
      </c>
      <c r="B17" s="11"/>
      <c r="C17" s="11"/>
      <c r="D17" s="11"/>
      <c r="E17" s="11"/>
      <c r="F17" s="11"/>
      <c r="G17" s="13" t="n">
        <v>1</v>
      </c>
    </row>
    <row r="18" customFormat="false" ht="15" hidden="false" customHeight="false" outlineLevel="0" collapsed="false">
      <c r="A18" s="11" t="s">
        <v>21</v>
      </c>
      <c r="B18" s="11"/>
      <c r="C18" s="11"/>
      <c r="D18" s="11"/>
      <c r="E18" s="11"/>
      <c r="F18" s="11"/>
      <c r="G18" s="13" t="n">
        <v>6</v>
      </c>
    </row>
    <row r="20" customFormat="false" ht="15" hidden="false" customHeight="false" outlineLevel="0" collapsed="false">
      <c r="A20" s="10" t="s">
        <v>22</v>
      </c>
    </row>
    <row r="21" customFormat="false" ht="30" hidden="false" customHeight="true" outlineLevel="0" collapsed="false">
      <c r="A21" s="4" t="s">
        <v>23</v>
      </c>
      <c r="B21" s="4" t="s">
        <v>24</v>
      </c>
      <c r="C21" s="4" t="s">
        <v>25</v>
      </c>
    </row>
    <row r="22" customFormat="false" ht="15" hidden="false" customHeight="false" outlineLevel="0" collapsed="false">
      <c r="A22" s="5" t="s">
        <v>26</v>
      </c>
      <c r="B22" s="7" t="n">
        <v>5</v>
      </c>
      <c r="C22" s="6" t="n">
        <v>255</v>
      </c>
    </row>
    <row r="23" customFormat="false" ht="15" hidden="false" customHeight="false" outlineLevel="0" collapsed="false">
      <c r="A23" s="5" t="s">
        <v>27</v>
      </c>
      <c r="B23" s="7" t="n">
        <v>10</v>
      </c>
      <c r="C23" s="6" t="n">
        <v>680</v>
      </c>
    </row>
    <row r="25" customFormat="false" ht="15" hidden="false" customHeight="false" outlineLevel="0" collapsed="false">
      <c r="A25" s="2" t="s">
        <v>28</v>
      </c>
    </row>
  </sheetData>
  <mergeCells count="6"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7" min="5" style="0" width="16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30" hidden="false" customHeight="true" outlineLevel="0" collapsed="false">
      <c r="A4" s="4" t="s">
        <v>31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32</v>
      </c>
    </row>
    <row r="5" customFormat="false" ht="15" hidden="false" customHeight="false" outlineLevel="0" collapsed="false">
      <c r="A5" s="5" t="s">
        <v>33</v>
      </c>
      <c r="B5" s="7" t="n">
        <v>1</v>
      </c>
      <c r="C5" s="7" t="n">
        <v>2</v>
      </c>
      <c r="D5" s="7" t="n">
        <v>1</v>
      </c>
      <c r="E5" s="7" t="n">
        <v>0</v>
      </c>
      <c r="F5" s="14" t="n">
        <f aca="false">SUM(B5:E5)</f>
        <v>4</v>
      </c>
    </row>
    <row r="7" customFormat="false" ht="15" hidden="false" customHeight="false" outlineLevel="0" collapsed="false">
      <c r="A7" s="10" t="s">
        <v>34</v>
      </c>
    </row>
    <row r="8" customFormat="false" ht="30" hidden="false" customHeight="true" outlineLevel="0" collapsed="false">
      <c r="A8" s="4" t="s">
        <v>35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36</v>
      </c>
    </row>
    <row r="9" customFormat="false" ht="15" hidden="false" customHeight="false" outlineLevel="0" collapsed="false">
      <c r="A9" s="15" t="s">
        <v>37</v>
      </c>
      <c r="B9" s="9" t="n">
        <f aca="false">B$5*Paramètres!$D$7</f>
        <v>130</v>
      </c>
      <c r="C9" s="9" t="n">
        <f aca="false">C$5*Paramètres!$D$8</f>
        <v>830</v>
      </c>
      <c r="D9" s="9" t="n">
        <f aca="false">D$5*Paramètres!$D$9</f>
        <v>730</v>
      </c>
      <c r="E9" s="9" t="n">
        <f aca="false">E$5*Paramètres!$D$10</f>
        <v>0</v>
      </c>
      <c r="F9" s="16" t="n">
        <f aca="false">SUM(B9:E9)</f>
        <v>1690</v>
      </c>
    </row>
    <row r="10" customFormat="false" ht="15" hidden="false" customHeight="false" outlineLevel="0" collapsed="false">
      <c r="A10" s="15" t="s">
        <v>38</v>
      </c>
      <c r="B10" s="9" t="n">
        <f aca="false">B$5*Paramètres!$F$7*Paramètres!$G$16</f>
        <v>24</v>
      </c>
      <c r="C10" s="9" t="n">
        <f aca="false">C$5*Paramètres!$F$8*Paramètres!$G$16</f>
        <v>102</v>
      </c>
      <c r="D10" s="9" t="n">
        <f aca="false">D$5*Paramètres!$F$9*Paramètres!$G$16</f>
        <v>51</v>
      </c>
      <c r="E10" s="9" t="n">
        <f aca="false">E$5*Paramètres!$F$10*Paramètres!$G$16</f>
        <v>0</v>
      </c>
      <c r="F10" s="16" t="n">
        <f aca="false">SUM(B10:E10)</f>
        <v>177</v>
      </c>
    </row>
    <row r="11" customFormat="false" ht="15" hidden="false" customHeight="false" outlineLevel="0" collapsed="false">
      <c r="A11" s="15" t="s">
        <v>39</v>
      </c>
      <c r="B11" s="9" t="n">
        <f aca="false">B$5*Paramètres!$E$7*Paramètres!$G$13</f>
        <v>0</v>
      </c>
      <c r="C11" s="9" t="n">
        <f aca="false">C$5*Paramètres!$E$8*Paramètres!$G$13</f>
        <v>0</v>
      </c>
      <c r="D11" s="9" t="n">
        <f aca="false">D$5*Paramètres!$E$9*Paramètres!$G$13</f>
        <v>0</v>
      </c>
      <c r="E11" s="9" t="n">
        <f aca="false">E$5*Paramètres!$E$10*Paramètres!$G$13</f>
        <v>0</v>
      </c>
      <c r="F11" s="16" t="n">
        <f aca="false">SUM(B11:E11)</f>
        <v>0</v>
      </c>
    </row>
    <row r="12" customFormat="false" ht="15" hidden="false" customHeight="false" outlineLevel="0" collapsed="false">
      <c r="A12" s="5" t="s">
        <v>40</v>
      </c>
      <c r="B12" s="17" t="n">
        <f aca="false">SUM(B9:B11)</f>
        <v>154</v>
      </c>
      <c r="C12" s="17" t="n">
        <f aca="false">SUM(C9:C11)</f>
        <v>932</v>
      </c>
      <c r="D12" s="17" t="n">
        <f aca="false">SUM(D9:D11)</f>
        <v>781</v>
      </c>
      <c r="E12" s="17" t="n">
        <f aca="false">SUM(E9:E11)</f>
        <v>0</v>
      </c>
      <c r="F12" s="17" t="n">
        <f aca="false">SUM(F9:F11)</f>
        <v>1867</v>
      </c>
    </row>
    <row r="14" customFormat="false" ht="15" hidden="false" customHeight="false" outlineLevel="0" collapsed="false">
      <c r="A14" s="10" t="s">
        <v>41</v>
      </c>
    </row>
    <row r="15" customFormat="false" ht="15" hidden="false" customHeight="false" outlineLevel="0" collapsed="false">
      <c r="A15" s="2" t="s">
        <v>42</v>
      </c>
    </row>
    <row r="16" customFormat="false" ht="30" hidden="false" customHeight="true" outlineLevel="0" collapsed="false">
      <c r="A16" s="4" t="s">
        <v>43</v>
      </c>
      <c r="B16" s="4" t="s">
        <v>44</v>
      </c>
      <c r="C16" s="4" t="s">
        <v>45</v>
      </c>
      <c r="D16" s="4" t="s">
        <v>46</v>
      </c>
      <c r="E16" s="4" t="s">
        <v>47</v>
      </c>
      <c r="F16" s="4" t="s">
        <v>48</v>
      </c>
      <c r="G16" s="4" t="s">
        <v>49</v>
      </c>
    </row>
    <row r="17" customFormat="false" ht="15" hidden="false" customHeight="false" outlineLevel="0" collapsed="false">
      <c r="A17" s="18" t="n">
        <v>1</v>
      </c>
      <c r="B17" s="19" t="n">
        <f aca="false">$F$5</f>
        <v>4</v>
      </c>
      <c r="C17" s="9" t="n">
        <f aca="false">IF(A17&gt;Paramètres!$G$17,$F$9+$F$10,0)</f>
        <v>0</v>
      </c>
      <c r="D17" s="9" t="n">
        <f aca="false">IF(A17&gt;Paramètres!$G$18,$F$11,0)</f>
        <v>0</v>
      </c>
      <c r="E17" s="9" t="n">
        <f aca="false">IF(MOD(A17,3)=0,IF(3*($C$5+$D$5+$E$5)&gt;=Paramètres!$B$23,Paramètres!$C$23,IF(3*($C$5+$D$5+$E$5)&gt;=Paramètres!$B$22,Paramètres!$C$22,0)),0)</f>
        <v>0</v>
      </c>
      <c r="F17" s="16" t="n">
        <f aca="false">C17+D17+E17</f>
        <v>0</v>
      </c>
      <c r="G17" s="9" t="n">
        <f aca="false">SUM($F$17:F17)</f>
        <v>0</v>
      </c>
    </row>
    <row r="18" customFormat="false" ht="15" hidden="false" customHeight="false" outlineLevel="0" collapsed="false">
      <c r="A18" s="18" t="n">
        <v>2</v>
      </c>
      <c r="B18" s="19" t="n">
        <f aca="false">$F$5</f>
        <v>4</v>
      </c>
      <c r="C18" s="9" t="n">
        <f aca="false">IF(A18&gt;Paramètres!$G$17,$F$9+$F$10,0)</f>
        <v>0</v>
      </c>
      <c r="D18" s="9" t="n">
        <f aca="false">IF(A18&gt;Paramètres!$G$18,$F$11,0)</f>
        <v>0</v>
      </c>
      <c r="E18" s="9" t="n">
        <f aca="false">IF(MOD(A18,3)=0,IF(3*($C$5+$D$5+$E$5)&gt;=Paramètres!$B$23,Paramètres!$C$23,IF(3*($C$5+$D$5+$E$5)&gt;=Paramètres!$B$22,Paramètres!$C$22,0)),0)</f>
        <v>0</v>
      </c>
      <c r="F18" s="16" t="n">
        <f aca="false">C18+D18+E18</f>
        <v>0</v>
      </c>
      <c r="G18" s="9" t="n">
        <f aca="false">SUM($F$17:F18)</f>
        <v>0</v>
      </c>
    </row>
    <row r="19" customFormat="false" ht="15" hidden="false" customHeight="false" outlineLevel="0" collapsed="false">
      <c r="A19" s="18" t="n">
        <v>3</v>
      </c>
      <c r="B19" s="19" t="n">
        <f aca="false">$F$5</f>
        <v>4</v>
      </c>
      <c r="C19" s="9" t="n">
        <f aca="false">IF(A19&gt;Paramètres!$G$17,$F$9+$F$10,0)</f>
        <v>1867</v>
      </c>
      <c r="D19" s="9" t="n">
        <f aca="false">IF(A19&gt;Paramètres!$G$18,$F$11,0)</f>
        <v>0</v>
      </c>
      <c r="E19" s="9" t="n">
        <f aca="false">IF(MOD(A19,3)=0,IF(3*($C$5+$D$5+$E$5)&gt;=Paramètres!$B$23,Paramètres!$C$23,IF(3*($C$5+$D$5+$E$5)&gt;=Paramètres!$B$22,Paramètres!$C$22,0)),0)</f>
        <v>255</v>
      </c>
      <c r="F19" s="16" t="n">
        <f aca="false">C19+D19+E19</f>
        <v>2122</v>
      </c>
      <c r="G19" s="9" t="n">
        <f aca="false">SUM($F$17:F19)</f>
        <v>2122</v>
      </c>
    </row>
    <row r="20" customFormat="false" ht="15" hidden="false" customHeight="false" outlineLevel="0" collapsed="false">
      <c r="A20" s="18" t="n">
        <v>4</v>
      </c>
      <c r="B20" s="19" t="n">
        <f aca="false">$F$5</f>
        <v>4</v>
      </c>
      <c r="C20" s="9" t="n">
        <f aca="false">IF(A20&gt;Paramètres!$G$17,$F$9+$F$10,0)</f>
        <v>1867</v>
      </c>
      <c r="D20" s="9" t="n">
        <f aca="false">IF(A20&gt;Paramètres!$G$18,$F$11,0)</f>
        <v>0</v>
      </c>
      <c r="E20" s="9" t="n">
        <f aca="false">IF(MOD(A20,3)=0,IF(3*($C$5+$D$5+$E$5)&gt;=Paramètres!$B$23,Paramètres!$C$23,IF(3*($C$5+$D$5+$E$5)&gt;=Paramètres!$B$22,Paramètres!$C$22,0)),0)</f>
        <v>0</v>
      </c>
      <c r="F20" s="16" t="n">
        <f aca="false">C20+D20+E20</f>
        <v>1867</v>
      </c>
      <c r="G20" s="9" t="n">
        <f aca="false">SUM($F$17:F20)</f>
        <v>3989</v>
      </c>
    </row>
    <row r="21" customFormat="false" ht="15" hidden="false" customHeight="false" outlineLevel="0" collapsed="false">
      <c r="A21" s="18" t="n">
        <v>5</v>
      </c>
      <c r="B21" s="19" t="n">
        <f aca="false">$F$5</f>
        <v>4</v>
      </c>
      <c r="C21" s="9" t="n">
        <f aca="false">IF(A21&gt;Paramètres!$G$17,$F$9+$F$10,0)</f>
        <v>1867</v>
      </c>
      <c r="D21" s="9" t="n">
        <f aca="false">IF(A21&gt;Paramètres!$G$18,$F$11,0)</f>
        <v>0</v>
      </c>
      <c r="E21" s="9" t="n">
        <f aca="false">IF(MOD(A21,3)=0,IF(3*($C$5+$D$5+$E$5)&gt;=Paramètres!$B$23,Paramètres!$C$23,IF(3*($C$5+$D$5+$E$5)&gt;=Paramètres!$B$22,Paramètres!$C$22,0)),0)</f>
        <v>0</v>
      </c>
      <c r="F21" s="16" t="n">
        <f aca="false">C21+D21+E21</f>
        <v>1867</v>
      </c>
      <c r="G21" s="9" t="n">
        <f aca="false">SUM($F$17:F21)</f>
        <v>5856</v>
      </c>
    </row>
    <row r="22" customFormat="false" ht="15" hidden="false" customHeight="false" outlineLevel="0" collapsed="false">
      <c r="A22" s="18" t="n">
        <v>6</v>
      </c>
      <c r="B22" s="19" t="n">
        <f aca="false">$F$5</f>
        <v>4</v>
      </c>
      <c r="C22" s="9" t="n">
        <f aca="false">IF(A22&gt;Paramètres!$G$17,$F$9+$F$10,0)</f>
        <v>1867</v>
      </c>
      <c r="D22" s="9" t="n">
        <f aca="false">IF(A22&gt;Paramètres!$G$18,$F$11,0)</f>
        <v>0</v>
      </c>
      <c r="E22" s="9" t="n">
        <f aca="false">IF(MOD(A22,3)=0,IF(3*($C$5+$D$5+$E$5)&gt;=Paramètres!$B$23,Paramètres!$C$23,IF(3*($C$5+$D$5+$E$5)&gt;=Paramètres!$B$22,Paramètres!$C$22,0)),0)</f>
        <v>255</v>
      </c>
      <c r="F22" s="16" t="n">
        <f aca="false">C22+D22+E22</f>
        <v>2122</v>
      </c>
      <c r="G22" s="9" t="n">
        <f aca="false">SUM($F$17:F22)</f>
        <v>7978</v>
      </c>
    </row>
    <row r="23" customFormat="false" ht="15" hidden="false" customHeight="false" outlineLevel="0" collapsed="false">
      <c r="A23" s="18" t="n">
        <v>7</v>
      </c>
      <c r="B23" s="19" t="n">
        <f aca="false">$F$5</f>
        <v>4</v>
      </c>
      <c r="C23" s="9" t="n">
        <f aca="false">IF(A23&gt;Paramètres!$G$17,$F$9+$F$10,0)</f>
        <v>1867</v>
      </c>
      <c r="D23" s="9" t="n">
        <f aca="false">IF(A23&gt;Paramètres!$G$18,$F$11,0)</f>
        <v>0</v>
      </c>
      <c r="E23" s="9" t="n">
        <f aca="false">IF(MOD(A23,3)=0,IF(3*($C$5+$D$5+$E$5)&gt;=Paramètres!$B$23,Paramètres!$C$23,IF(3*($C$5+$D$5+$E$5)&gt;=Paramètres!$B$22,Paramètres!$C$22,0)),0)</f>
        <v>0</v>
      </c>
      <c r="F23" s="16" t="n">
        <f aca="false">C23+D23+E23</f>
        <v>1867</v>
      </c>
      <c r="G23" s="9" t="n">
        <f aca="false">SUM($F$17:F23)</f>
        <v>9845</v>
      </c>
    </row>
    <row r="24" customFormat="false" ht="15" hidden="false" customHeight="false" outlineLevel="0" collapsed="false">
      <c r="A24" s="18" t="n">
        <v>8</v>
      </c>
      <c r="B24" s="19" t="n">
        <f aca="false">$F$5</f>
        <v>4</v>
      </c>
      <c r="C24" s="9" t="n">
        <f aca="false">IF(A24&gt;Paramètres!$G$17,$F$9+$F$10,0)</f>
        <v>1867</v>
      </c>
      <c r="D24" s="9" t="n">
        <f aca="false">IF(A24&gt;Paramètres!$G$18,$F$11,0)</f>
        <v>0</v>
      </c>
      <c r="E24" s="9" t="n">
        <f aca="false">IF(MOD(A24,3)=0,IF(3*($C$5+$D$5+$E$5)&gt;=Paramètres!$B$23,Paramètres!$C$23,IF(3*($C$5+$D$5+$E$5)&gt;=Paramètres!$B$22,Paramètres!$C$22,0)),0)</f>
        <v>0</v>
      </c>
      <c r="F24" s="16" t="n">
        <f aca="false">C24+D24+E24</f>
        <v>1867</v>
      </c>
      <c r="G24" s="9" t="n">
        <f aca="false">SUM($F$17:F24)</f>
        <v>11712</v>
      </c>
    </row>
    <row r="25" customFormat="false" ht="15" hidden="false" customHeight="false" outlineLevel="0" collapsed="false">
      <c r="A25" s="18" t="n">
        <v>9</v>
      </c>
      <c r="B25" s="19" t="n">
        <f aca="false">$F$5</f>
        <v>4</v>
      </c>
      <c r="C25" s="9" t="n">
        <f aca="false">IF(A25&gt;Paramètres!$G$17,$F$9+$F$10,0)</f>
        <v>1867</v>
      </c>
      <c r="D25" s="9" t="n">
        <f aca="false">IF(A25&gt;Paramètres!$G$18,$F$11,0)</f>
        <v>0</v>
      </c>
      <c r="E25" s="9" t="n">
        <f aca="false">IF(MOD(A25,3)=0,IF(3*($C$5+$D$5+$E$5)&gt;=Paramètres!$B$23,Paramètres!$C$23,IF(3*($C$5+$D$5+$E$5)&gt;=Paramètres!$B$22,Paramètres!$C$22,0)),0)</f>
        <v>255</v>
      </c>
      <c r="F25" s="16" t="n">
        <f aca="false">C25+D25+E25</f>
        <v>2122</v>
      </c>
      <c r="G25" s="9" t="n">
        <f aca="false">SUM($F$17:F25)</f>
        <v>13834</v>
      </c>
    </row>
    <row r="26" customFormat="false" ht="15" hidden="false" customHeight="false" outlineLevel="0" collapsed="false">
      <c r="A26" s="18" t="n">
        <v>10</v>
      </c>
      <c r="B26" s="19" t="n">
        <f aca="false">$F$5</f>
        <v>4</v>
      </c>
      <c r="C26" s="9" t="n">
        <f aca="false">IF(A26&gt;Paramètres!$G$17,$F$9+$F$10,0)</f>
        <v>1867</v>
      </c>
      <c r="D26" s="9" t="n">
        <f aca="false">IF(A26&gt;Paramètres!$G$18,$F$11,0)</f>
        <v>0</v>
      </c>
      <c r="E26" s="9" t="n">
        <f aca="false">IF(MOD(A26,3)=0,IF(3*($C$5+$D$5+$E$5)&gt;=Paramètres!$B$23,Paramètres!$C$23,IF(3*($C$5+$D$5+$E$5)&gt;=Paramètres!$B$22,Paramètres!$C$22,0)),0)</f>
        <v>0</v>
      </c>
      <c r="F26" s="16" t="n">
        <f aca="false">C26+D26+E26</f>
        <v>1867</v>
      </c>
      <c r="G26" s="9" t="n">
        <f aca="false">SUM($F$17:F26)</f>
        <v>15701</v>
      </c>
    </row>
    <row r="27" customFormat="false" ht="15" hidden="false" customHeight="false" outlineLevel="0" collapsed="false">
      <c r="A27" s="18" t="n">
        <v>11</v>
      </c>
      <c r="B27" s="19" t="n">
        <f aca="false">$F$5</f>
        <v>4</v>
      </c>
      <c r="C27" s="9" t="n">
        <f aca="false">IF(A27&gt;Paramètres!$G$17,$F$9+$F$10,0)</f>
        <v>1867</v>
      </c>
      <c r="D27" s="9" t="n">
        <f aca="false">IF(A27&gt;Paramètres!$G$18,$F$11,0)</f>
        <v>0</v>
      </c>
      <c r="E27" s="9" t="n">
        <f aca="false">IF(MOD(A27,3)=0,IF(3*($C$5+$D$5+$E$5)&gt;=Paramètres!$B$23,Paramètres!$C$23,IF(3*($C$5+$D$5+$E$5)&gt;=Paramètres!$B$22,Paramètres!$C$22,0)),0)</f>
        <v>0</v>
      </c>
      <c r="F27" s="16" t="n">
        <f aca="false">C27+D27+E27</f>
        <v>1867</v>
      </c>
      <c r="G27" s="9" t="n">
        <f aca="false">SUM($F$17:F27)</f>
        <v>17568</v>
      </c>
    </row>
    <row r="28" customFormat="false" ht="15" hidden="false" customHeight="false" outlineLevel="0" collapsed="false">
      <c r="A28" s="18" t="n">
        <v>12</v>
      </c>
      <c r="B28" s="19" t="n">
        <f aca="false">$F$5</f>
        <v>4</v>
      </c>
      <c r="C28" s="9" t="n">
        <f aca="false">IF(A28&gt;Paramètres!$G$17,$F$9+$F$10,0)</f>
        <v>1867</v>
      </c>
      <c r="D28" s="9" t="n">
        <f aca="false">IF(A28&gt;Paramètres!$G$18,$F$11,0)</f>
        <v>0</v>
      </c>
      <c r="E28" s="9" t="n">
        <f aca="false">IF(MOD(A28,3)=0,IF(3*($C$5+$D$5+$E$5)&gt;=Paramètres!$B$23,Paramètres!$C$23,IF(3*($C$5+$D$5+$E$5)&gt;=Paramètres!$B$22,Paramètres!$C$22,0)),0)</f>
        <v>255</v>
      </c>
      <c r="F28" s="16" t="n">
        <f aca="false">C28+D28+E28</f>
        <v>2122</v>
      </c>
      <c r="G28" s="9" t="n">
        <f aca="false">SUM($F$17:F28)</f>
        <v>19690</v>
      </c>
    </row>
    <row r="29" customFormat="false" ht="15" hidden="false" customHeight="false" outlineLevel="0" collapsed="false">
      <c r="A29" s="18" t="n">
        <v>13</v>
      </c>
      <c r="B29" s="19" t="n">
        <f aca="false">$F$5</f>
        <v>4</v>
      </c>
      <c r="C29" s="9" t="n">
        <f aca="false">IF(A29&gt;Paramètres!$G$17,$F$9+$F$10,0)</f>
        <v>1867</v>
      </c>
      <c r="D29" s="9" t="n">
        <f aca="false">IF(A29&gt;Paramètres!$G$18,$F$11,0)</f>
        <v>0</v>
      </c>
      <c r="E29" s="9" t="n">
        <f aca="false">IF(MOD(A29,3)=0,IF(3*($C$5+$D$5+$E$5)&gt;=Paramètres!$B$23,Paramètres!$C$23,IF(3*($C$5+$D$5+$E$5)&gt;=Paramètres!$B$22,Paramètres!$C$22,0)),0)</f>
        <v>0</v>
      </c>
      <c r="F29" s="16" t="n">
        <f aca="false">C29+D29+E29</f>
        <v>1867</v>
      </c>
      <c r="G29" s="9" t="n">
        <f aca="false">SUM($F$17:F29)</f>
        <v>21557</v>
      </c>
    </row>
    <row r="30" customFormat="false" ht="15" hidden="false" customHeight="false" outlineLevel="0" collapsed="false">
      <c r="A30" s="18" t="n">
        <v>14</v>
      </c>
      <c r="B30" s="19" t="n">
        <f aca="false">$F$5</f>
        <v>4</v>
      </c>
      <c r="C30" s="9" t="n">
        <f aca="false">IF(A30&gt;Paramètres!$G$17,$F$9+$F$10,0)</f>
        <v>1867</v>
      </c>
      <c r="D30" s="9" t="n">
        <f aca="false">IF(A30&gt;Paramètres!$G$18,$F$11,0)</f>
        <v>0</v>
      </c>
      <c r="E30" s="9" t="n">
        <f aca="false">IF(MOD(A30,3)=0,IF(3*($C$5+$D$5+$E$5)&gt;=Paramètres!$B$23,Paramètres!$C$23,IF(3*($C$5+$D$5+$E$5)&gt;=Paramètres!$B$22,Paramètres!$C$22,0)),0)</f>
        <v>0</v>
      </c>
      <c r="F30" s="16" t="n">
        <f aca="false">C30+D30+E30</f>
        <v>1867</v>
      </c>
      <c r="G30" s="9" t="n">
        <f aca="false">SUM($F$17:F30)</f>
        <v>23424</v>
      </c>
    </row>
    <row r="31" customFormat="false" ht="15" hidden="false" customHeight="false" outlineLevel="0" collapsed="false">
      <c r="A31" s="18" t="n">
        <v>15</v>
      </c>
      <c r="B31" s="19" t="n">
        <f aca="false">$F$5</f>
        <v>4</v>
      </c>
      <c r="C31" s="9" t="n">
        <f aca="false">IF(A31&gt;Paramètres!$G$17,$F$9+$F$10,0)</f>
        <v>1867</v>
      </c>
      <c r="D31" s="9" t="n">
        <f aca="false">IF(A31&gt;Paramètres!$G$18,$F$11,0)</f>
        <v>0</v>
      </c>
      <c r="E31" s="9" t="n">
        <f aca="false">IF(MOD(A31,3)=0,IF(3*($C$5+$D$5+$E$5)&gt;=Paramètres!$B$23,Paramètres!$C$23,IF(3*($C$5+$D$5+$E$5)&gt;=Paramètres!$B$22,Paramètres!$C$22,0)),0)</f>
        <v>255</v>
      </c>
      <c r="F31" s="16" t="n">
        <f aca="false">C31+D31+E31</f>
        <v>2122</v>
      </c>
      <c r="G31" s="9" t="n">
        <f aca="false">SUM($F$17:F31)</f>
        <v>25546</v>
      </c>
    </row>
    <row r="32" customFormat="false" ht="15" hidden="false" customHeight="false" outlineLevel="0" collapsed="false">
      <c r="A32" s="18" t="n">
        <v>16</v>
      </c>
      <c r="B32" s="19" t="n">
        <f aca="false">$F$5</f>
        <v>4</v>
      </c>
      <c r="C32" s="9" t="n">
        <f aca="false">IF(A32&gt;Paramètres!$G$17,$F$9+$F$10,0)</f>
        <v>1867</v>
      </c>
      <c r="D32" s="9" t="n">
        <f aca="false">IF(A32&gt;Paramètres!$G$18,$F$11,0)</f>
        <v>0</v>
      </c>
      <c r="E32" s="9" t="n">
        <f aca="false">IF(MOD(A32,3)=0,IF(3*($C$5+$D$5+$E$5)&gt;=Paramètres!$B$23,Paramètres!$C$23,IF(3*($C$5+$D$5+$E$5)&gt;=Paramètres!$B$22,Paramètres!$C$22,0)),0)</f>
        <v>0</v>
      </c>
      <c r="F32" s="16" t="n">
        <f aca="false">C32+D32+E32</f>
        <v>1867</v>
      </c>
      <c r="G32" s="9" t="n">
        <f aca="false">SUM($F$17:F32)</f>
        <v>27413</v>
      </c>
    </row>
    <row r="33" customFormat="false" ht="15" hidden="false" customHeight="false" outlineLevel="0" collapsed="false">
      <c r="A33" s="18" t="n">
        <v>17</v>
      </c>
      <c r="B33" s="19" t="n">
        <f aca="false">$F$5</f>
        <v>4</v>
      </c>
      <c r="C33" s="9" t="n">
        <f aca="false">IF(A33&gt;Paramètres!$G$17,$F$9+$F$10,0)</f>
        <v>1867</v>
      </c>
      <c r="D33" s="9" t="n">
        <f aca="false">IF(A33&gt;Paramètres!$G$18,$F$11,0)</f>
        <v>0</v>
      </c>
      <c r="E33" s="9" t="n">
        <f aca="false">IF(MOD(A33,3)=0,IF(3*($C$5+$D$5+$E$5)&gt;=Paramètres!$B$23,Paramètres!$C$23,IF(3*($C$5+$D$5+$E$5)&gt;=Paramètres!$B$22,Paramètres!$C$22,0)),0)</f>
        <v>0</v>
      </c>
      <c r="F33" s="16" t="n">
        <f aca="false">C33+D33+E33</f>
        <v>1867</v>
      </c>
      <c r="G33" s="9" t="n">
        <f aca="false">SUM($F$17:F33)</f>
        <v>29280</v>
      </c>
    </row>
    <row r="34" customFormat="false" ht="15" hidden="false" customHeight="false" outlineLevel="0" collapsed="false">
      <c r="A34" s="18" t="n">
        <v>18</v>
      </c>
      <c r="B34" s="19" t="n">
        <f aca="false">$F$5</f>
        <v>4</v>
      </c>
      <c r="C34" s="9" t="n">
        <f aca="false">IF(A34&gt;Paramètres!$G$17,$F$9+$F$10,0)</f>
        <v>1867</v>
      </c>
      <c r="D34" s="9" t="n">
        <f aca="false">IF(A34&gt;Paramètres!$G$18,$F$11,0)</f>
        <v>0</v>
      </c>
      <c r="E34" s="9" t="n">
        <f aca="false">IF(MOD(A34,3)=0,IF(3*($C$5+$D$5+$E$5)&gt;=Paramètres!$B$23,Paramètres!$C$23,IF(3*($C$5+$D$5+$E$5)&gt;=Paramètres!$B$22,Paramètres!$C$22,0)),0)</f>
        <v>255</v>
      </c>
      <c r="F34" s="16" t="n">
        <f aca="false">C34+D34+E34</f>
        <v>2122</v>
      </c>
      <c r="G34" s="9" t="n">
        <f aca="false">SUM($F$17:F34)</f>
        <v>31402</v>
      </c>
    </row>
    <row r="35" customFormat="false" ht="15" hidden="false" customHeight="false" outlineLevel="0" collapsed="false">
      <c r="A35" s="18" t="n">
        <v>19</v>
      </c>
      <c r="B35" s="19" t="n">
        <f aca="false">$F$5</f>
        <v>4</v>
      </c>
      <c r="C35" s="9" t="n">
        <f aca="false">IF(A35&gt;Paramètres!$G$17,$F$9+$F$10,0)</f>
        <v>1867</v>
      </c>
      <c r="D35" s="9" t="n">
        <f aca="false">IF(A35&gt;Paramètres!$G$18,$F$11,0)</f>
        <v>0</v>
      </c>
      <c r="E35" s="9" t="n">
        <f aca="false">IF(MOD(A35,3)=0,IF(3*($C$5+$D$5+$E$5)&gt;=Paramètres!$B$23,Paramètres!$C$23,IF(3*($C$5+$D$5+$E$5)&gt;=Paramètres!$B$22,Paramètres!$C$22,0)),0)</f>
        <v>0</v>
      </c>
      <c r="F35" s="16" t="n">
        <f aca="false">C35+D35+E35</f>
        <v>1867</v>
      </c>
      <c r="G35" s="9" t="n">
        <f aca="false">SUM($F$17:F35)</f>
        <v>33269</v>
      </c>
    </row>
    <row r="36" customFormat="false" ht="15" hidden="false" customHeight="false" outlineLevel="0" collapsed="false">
      <c r="A36" s="18" t="n">
        <v>20</v>
      </c>
      <c r="B36" s="19" t="n">
        <f aca="false">$F$5</f>
        <v>4</v>
      </c>
      <c r="C36" s="9" t="n">
        <f aca="false">IF(A36&gt;Paramètres!$G$17,$F$9+$F$10,0)</f>
        <v>1867</v>
      </c>
      <c r="D36" s="9" t="n">
        <f aca="false">IF(A36&gt;Paramètres!$G$18,$F$11,0)</f>
        <v>0</v>
      </c>
      <c r="E36" s="9" t="n">
        <f aca="false">IF(MOD(A36,3)=0,IF(3*($C$5+$D$5+$E$5)&gt;=Paramètres!$B$23,Paramètres!$C$23,IF(3*($C$5+$D$5+$E$5)&gt;=Paramètres!$B$22,Paramètres!$C$22,0)),0)</f>
        <v>0</v>
      </c>
      <c r="F36" s="16" t="n">
        <f aca="false">C36+D36+E36</f>
        <v>1867</v>
      </c>
      <c r="G36" s="9" t="n">
        <f aca="false">SUM($F$17:F36)</f>
        <v>35136</v>
      </c>
    </row>
    <row r="37" customFormat="false" ht="15" hidden="false" customHeight="false" outlineLevel="0" collapsed="false">
      <c r="A37" s="18" t="n">
        <v>21</v>
      </c>
      <c r="B37" s="19" t="n">
        <f aca="false">$F$5</f>
        <v>4</v>
      </c>
      <c r="C37" s="9" t="n">
        <f aca="false">IF(A37&gt;Paramètres!$G$17,$F$9+$F$10,0)</f>
        <v>1867</v>
      </c>
      <c r="D37" s="9" t="n">
        <f aca="false">IF(A37&gt;Paramètres!$G$18,$F$11,0)</f>
        <v>0</v>
      </c>
      <c r="E37" s="9" t="n">
        <f aca="false">IF(MOD(A37,3)=0,IF(3*($C$5+$D$5+$E$5)&gt;=Paramètres!$B$23,Paramètres!$C$23,IF(3*($C$5+$D$5+$E$5)&gt;=Paramètres!$B$22,Paramètres!$C$22,0)),0)</f>
        <v>255</v>
      </c>
      <c r="F37" s="16" t="n">
        <f aca="false">C37+D37+E37</f>
        <v>2122</v>
      </c>
      <c r="G37" s="9" t="n">
        <f aca="false">SUM($F$17:F37)</f>
        <v>37258</v>
      </c>
    </row>
    <row r="38" customFormat="false" ht="15" hidden="false" customHeight="false" outlineLevel="0" collapsed="false">
      <c r="A38" s="18" t="n">
        <v>22</v>
      </c>
      <c r="B38" s="19" t="n">
        <f aca="false">$F$5</f>
        <v>4</v>
      </c>
      <c r="C38" s="9" t="n">
        <f aca="false">IF(A38&gt;Paramètres!$G$17,$F$9+$F$10,0)</f>
        <v>1867</v>
      </c>
      <c r="D38" s="9" t="n">
        <f aca="false">IF(A38&gt;Paramètres!$G$18,$F$11,0)</f>
        <v>0</v>
      </c>
      <c r="E38" s="9" t="n">
        <f aca="false">IF(MOD(A38,3)=0,IF(3*($C$5+$D$5+$E$5)&gt;=Paramètres!$B$23,Paramètres!$C$23,IF(3*($C$5+$D$5+$E$5)&gt;=Paramètres!$B$22,Paramètres!$C$22,0)),0)</f>
        <v>0</v>
      </c>
      <c r="F38" s="16" t="n">
        <f aca="false">C38+D38+E38</f>
        <v>1867</v>
      </c>
      <c r="G38" s="9" t="n">
        <f aca="false">SUM($F$17:F38)</f>
        <v>39125</v>
      </c>
    </row>
    <row r="39" customFormat="false" ht="15" hidden="false" customHeight="false" outlineLevel="0" collapsed="false">
      <c r="A39" s="18" t="n">
        <v>23</v>
      </c>
      <c r="B39" s="19" t="n">
        <f aca="false">$F$5</f>
        <v>4</v>
      </c>
      <c r="C39" s="9" t="n">
        <f aca="false">IF(A39&gt;Paramètres!$G$17,$F$9+$F$10,0)</f>
        <v>1867</v>
      </c>
      <c r="D39" s="9" t="n">
        <f aca="false">IF(A39&gt;Paramètres!$G$18,$F$11,0)</f>
        <v>0</v>
      </c>
      <c r="E39" s="9" t="n">
        <f aca="false">IF(MOD(A39,3)=0,IF(3*($C$5+$D$5+$E$5)&gt;=Paramètres!$B$23,Paramètres!$C$23,IF(3*($C$5+$D$5+$E$5)&gt;=Paramètres!$B$22,Paramètres!$C$22,0)),0)</f>
        <v>0</v>
      </c>
      <c r="F39" s="16" t="n">
        <f aca="false">C39+D39+E39</f>
        <v>1867</v>
      </c>
      <c r="G39" s="9" t="n">
        <f aca="false">SUM($F$17:F39)</f>
        <v>40992</v>
      </c>
    </row>
    <row r="40" customFormat="false" ht="15" hidden="false" customHeight="false" outlineLevel="0" collapsed="false">
      <c r="A40" s="18" t="n">
        <v>24</v>
      </c>
      <c r="B40" s="19" t="n">
        <f aca="false">$F$5</f>
        <v>4</v>
      </c>
      <c r="C40" s="9" t="n">
        <f aca="false">IF(A40&gt;Paramètres!$G$17,$F$9+$F$10,0)</f>
        <v>1867</v>
      </c>
      <c r="D40" s="9" t="n">
        <f aca="false">IF(A40&gt;Paramètres!$G$18,$F$11,0)</f>
        <v>0</v>
      </c>
      <c r="E40" s="9" t="n">
        <f aca="false">IF(MOD(A40,3)=0,IF(3*($C$5+$D$5+$E$5)&gt;=Paramètres!$B$23,Paramètres!$C$23,IF(3*($C$5+$D$5+$E$5)&gt;=Paramètres!$B$22,Paramètres!$C$22,0)),0)</f>
        <v>255</v>
      </c>
      <c r="F40" s="16" t="n">
        <f aca="false">C40+D40+E40</f>
        <v>2122</v>
      </c>
      <c r="G40" s="9" t="n">
        <f aca="false">SUM($F$17:F40)</f>
        <v>43114</v>
      </c>
    </row>
    <row r="41" customFormat="false" ht="15" hidden="false" customHeight="false" outlineLevel="0" collapsed="false">
      <c r="A41" s="5" t="s">
        <v>50</v>
      </c>
      <c r="F41" s="17" t="n">
        <f aca="false">SUM(F17:F28)</f>
        <v>19690</v>
      </c>
    </row>
    <row r="42" customFormat="false" ht="15" hidden="false" customHeight="false" outlineLevel="0" collapsed="false">
      <c r="A42" s="5" t="s">
        <v>51</v>
      </c>
      <c r="F42" s="17" t="n">
        <f aca="false">SUM(F29:F40)</f>
        <v>23424</v>
      </c>
    </row>
    <row r="43" customFormat="false" ht="15" hidden="false" customHeight="false" outlineLevel="0" collapsed="false">
      <c r="A43" s="5" t="s">
        <v>52</v>
      </c>
      <c r="F43" s="16" t="n">
        <f aca="false">F42/12</f>
        <v>1952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4" t="s">
        <v>55</v>
      </c>
      <c r="B4" s="4" t="s">
        <v>11</v>
      </c>
      <c r="C4" s="4" t="s">
        <v>12</v>
      </c>
      <c r="D4" s="4" t="s">
        <v>13</v>
      </c>
      <c r="E4" s="4" t="s">
        <v>14</v>
      </c>
    </row>
    <row r="5" customFormat="false" ht="15" hidden="false" customHeight="false" outlineLevel="0" collapsed="false">
      <c r="A5" s="15" t="s">
        <v>56</v>
      </c>
      <c r="B5" s="9" t="n">
        <f aca="false">Paramètres!B7*12</f>
        <v>948</v>
      </c>
      <c r="C5" s="9" t="n">
        <f aca="false">Paramètres!B8*12</f>
        <v>5880</v>
      </c>
      <c r="D5" s="9" t="n">
        <f aca="false">Paramètres!B9*12</f>
        <v>10320</v>
      </c>
      <c r="E5" s="9" t="n">
        <f aca="false">Paramètres!B10*12</f>
        <v>18840</v>
      </c>
    </row>
    <row r="6" customFormat="false" ht="15" hidden="false" customHeight="false" outlineLevel="0" collapsed="false">
      <c r="A6" s="15" t="s">
        <v>57</v>
      </c>
      <c r="B6" s="9" t="n">
        <f aca="false">-Paramètres!G7*12</f>
        <v>-0</v>
      </c>
      <c r="C6" s="9" t="n">
        <f aca="false">-Paramètres!G8*12</f>
        <v>-2040</v>
      </c>
      <c r="D6" s="9" t="n">
        <f aca="false">-Paramètres!G9*12</f>
        <v>-4080</v>
      </c>
      <c r="E6" s="9" t="n">
        <f aca="false">-Paramètres!G10*12</f>
        <v>-8160</v>
      </c>
    </row>
    <row r="7" customFormat="false" ht="15" hidden="false" customHeight="false" outlineLevel="0" collapsed="false">
      <c r="A7" s="15" t="s">
        <v>58</v>
      </c>
      <c r="B7" s="9" t="n">
        <f aca="false">-Paramètres!H7*12</f>
        <v>-300</v>
      </c>
      <c r="C7" s="9" t="n">
        <f aca="false">-Paramètres!H8*12</f>
        <v>-300</v>
      </c>
      <c r="D7" s="9" t="n">
        <f aca="false">-Paramètres!H9*12</f>
        <v>-300</v>
      </c>
      <c r="E7" s="9" t="n">
        <f aca="false">-Paramètres!H10*12</f>
        <v>-300</v>
      </c>
    </row>
    <row r="8" customFormat="false" ht="15" hidden="false" customHeight="false" outlineLevel="0" collapsed="false">
      <c r="A8" s="15" t="s">
        <v>59</v>
      </c>
      <c r="B8" s="9" t="n">
        <f aca="false">-(Paramètres!D7+Paramètres!F7*Paramètres!$G$16)</f>
        <v>-154</v>
      </c>
      <c r="C8" s="9" t="n">
        <f aca="false">-(Paramètres!D8+Paramètres!F8*Paramètres!$G$16)</f>
        <v>-466</v>
      </c>
      <c r="D8" s="9" t="n">
        <f aca="false">-(Paramètres!D9+Paramètres!F9*Paramètres!$G$16)</f>
        <v>-781</v>
      </c>
      <c r="E8" s="9" t="n">
        <f aca="false">-(Paramètres!D10+Paramètres!F10*Paramètres!$G$16)</f>
        <v>-1386</v>
      </c>
    </row>
    <row r="9" customFormat="false" ht="15" hidden="false" customHeight="false" outlineLevel="0" collapsed="false">
      <c r="A9" s="15" t="s">
        <v>60</v>
      </c>
      <c r="B9" s="9" t="n">
        <f aca="false">-Paramètres!E7*Paramètres!$G$13</f>
        <v>-0</v>
      </c>
      <c r="C9" s="9" t="n">
        <f aca="false">-Paramètres!E8*Paramètres!$G$13</f>
        <v>-0</v>
      </c>
      <c r="D9" s="9" t="n">
        <f aca="false">-Paramètres!E9*Paramètres!$G$13</f>
        <v>-0</v>
      </c>
      <c r="E9" s="9" t="n">
        <f aca="false">-Paramètres!E10*Paramètres!$G$13</f>
        <v>-0</v>
      </c>
    </row>
    <row r="10" customFormat="false" ht="15" hidden="false" customHeight="false" outlineLevel="0" collapsed="false">
      <c r="A10" s="5" t="s">
        <v>61</v>
      </c>
      <c r="B10" s="17" t="n">
        <f aca="false">SUM(B5:B9)</f>
        <v>494</v>
      </c>
      <c r="C10" s="17" t="n">
        <f aca="false">SUM(C5:C9)</f>
        <v>3074</v>
      </c>
      <c r="D10" s="17" t="n">
        <f aca="false">SUM(D5:D9)</f>
        <v>5159</v>
      </c>
      <c r="E10" s="17" t="n">
        <f aca="false">SUM(E5:E9)</f>
        <v>8994</v>
      </c>
    </row>
    <row r="11" customFormat="false" ht="15" hidden="false" customHeight="false" outlineLevel="0" collapsed="false">
      <c r="A11" s="5" t="s">
        <v>62</v>
      </c>
      <c r="B11" s="20" t="n">
        <f aca="false">IF(B5=0,0,B10/B5)</f>
        <v>0.521097046413502</v>
      </c>
      <c r="C11" s="20" t="n">
        <f aca="false">IF(C5=0,0,C10/C5)</f>
        <v>0.522789115646259</v>
      </c>
      <c r="D11" s="20" t="n">
        <f aca="false">IF(D5=0,0,D10/D5)</f>
        <v>0.499903100775194</v>
      </c>
      <c r="E11" s="20" t="n">
        <f aca="false">IF(E5=0,0,E10/E5)</f>
        <v>0.477388535031847</v>
      </c>
    </row>
    <row r="12" customFormat="false" ht="15" hidden="false" customHeight="false" outlineLevel="0" collapsed="false">
      <c r="A12" s="5" t="s">
        <v>63</v>
      </c>
      <c r="B12" s="20" t="n">
        <f aca="false">IF(B10-B8-B9=0,0,-(B8+B9)/(B10-B8-B9))</f>
        <v>0.237654320987654</v>
      </c>
      <c r="C12" s="20" t="n">
        <f aca="false">IF(C10-C8-C9=0,0,-(C8+C9)/(C10-C8-C9))</f>
        <v>0.131638418079096</v>
      </c>
      <c r="D12" s="20" t="n">
        <f aca="false">IF(D10-D8-D9=0,0,-(D8+D9)/(D10-D8-D9))</f>
        <v>0.131481481481481</v>
      </c>
      <c r="E12" s="20" t="n">
        <f aca="false">IF(E10-E8-E9=0,0,-(E8+E9)/(E10-E8-E9))</f>
        <v>0.133526011560694</v>
      </c>
    </row>
    <row r="14" customFormat="false" ht="30" hidden="false" customHeight="true" outlineLevel="0" collapsed="false">
      <c r="A14" s="4" t="s">
        <v>64</v>
      </c>
      <c r="B14" s="4" t="s">
        <v>11</v>
      </c>
      <c r="C14" s="4" t="s">
        <v>12</v>
      </c>
      <c r="D14" s="4" t="s">
        <v>13</v>
      </c>
      <c r="E14" s="4" t="s">
        <v>14</v>
      </c>
    </row>
    <row r="15" customFormat="false" ht="15" hidden="false" customHeight="false" outlineLevel="0" collapsed="false">
      <c r="A15" s="15" t="s">
        <v>56</v>
      </c>
      <c r="B15" s="9" t="n">
        <f aca="false">Paramètres!B7*12</f>
        <v>948</v>
      </c>
      <c r="C15" s="9" t="n">
        <f aca="false">Paramètres!B8*12</f>
        <v>5880</v>
      </c>
      <c r="D15" s="9" t="n">
        <f aca="false">Paramètres!B9*12</f>
        <v>10320</v>
      </c>
      <c r="E15" s="9" t="n">
        <f aca="false">Paramètres!B10*12</f>
        <v>18840</v>
      </c>
    </row>
    <row r="16" customFormat="false" ht="15" hidden="false" customHeight="false" outlineLevel="0" collapsed="false">
      <c r="A16" s="15" t="s">
        <v>65</v>
      </c>
      <c r="B16" s="9" t="n">
        <f aca="false">-(Paramètres!G7+Paramètres!H7)*12</f>
        <v>-300</v>
      </c>
      <c r="C16" s="9" t="n">
        <f aca="false">-(Paramètres!G8+Paramètres!H8)*12</f>
        <v>-2340</v>
      </c>
      <c r="D16" s="9" t="n">
        <f aca="false">-(Paramètres!G9+Paramètres!H9)*12</f>
        <v>-4380</v>
      </c>
      <c r="E16" s="9" t="n">
        <f aca="false">-(Paramètres!G10+Paramètres!H10)*12</f>
        <v>-8460</v>
      </c>
    </row>
    <row r="17" customFormat="false" ht="15" hidden="false" customHeight="false" outlineLevel="0" collapsed="false">
      <c r="A17" s="5" t="s">
        <v>66</v>
      </c>
      <c r="B17" s="17" t="n">
        <f aca="false">B15+B16</f>
        <v>648</v>
      </c>
      <c r="C17" s="17" t="n">
        <f aca="false">C15+C16</f>
        <v>3540</v>
      </c>
      <c r="D17" s="17" t="n">
        <f aca="false">D15+D16</f>
        <v>5940</v>
      </c>
      <c r="E17" s="17" t="n">
        <f aca="false">E15+E16</f>
        <v>10380</v>
      </c>
    </row>
    <row r="19" customFormat="false" ht="15" hidden="false" customHeight="false" outlineLevel="0" collapsed="false">
      <c r="A19" s="10" t="s">
        <v>67</v>
      </c>
    </row>
    <row r="20" customFormat="false" ht="30" hidden="false" customHeight="true" outlineLevel="0" collapsed="false">
      <c r="A20" s="4" t="s">
        <v>35</v>
      </c>
      <c r="B20" s="4" t="s">
        <v>11</v>
      </c>
      <c r="C20" s="4" t="s">
        <v>12</v>
      </c>
      <c r="D20" s="4" t="s">
        <v>13</v>
      </c>
      <c r="E20" s="4" t="s">
        <v>14</v>
      </c>
      <c r="F20" s="4" t="s">
        <v>36</v>
      </c>
    </row>
    <row r="21" customFormat="false" ht="15" hidden="false" customHeight="false" outlineLevel="0" collapsed="false">
      <c r="A21" s="15" t="s">
        <v>68</v>
      </c>
      <c r="B21" s="19" t="n">
        <f aca="false">'Simulation commercial'!B5*12</f>
        <v>12</v>
      </c>
      <c r="C21" s="19" t="n">
        <f aca="false">'Simulation commercial'!C5*12</f>
        <v>24</v>
      </c>
      <c r="D21" s="19" t="n">
        <f aca="false">'Simulation commercial'!D5*12</f>
        <v>12</v>
      </c>
      <c r="E21" s="19" t="n">
        <f aca="false">'Simulation commercial'!E5*12</f>
        <v>0</v>
      </c>
      <c r="F21" s="14" t="n">
        <f aca="false">SUM(B21:E21)</f>
        <v>48</v>
      </c>
    </row>
    <row r="22" customFormat="false" ht="15" hidden="false" customHeight="false" outlineLevel="0" collapsed="false">
      <c r="A22" s="5" t="s">
        <v>69</v>
      </c>
      <c r="B22" s="9" t="n">
        <f aca="false">B21*B10</f>
        <v>5928</v>
      </c>
      <c r="C22" s="9" t="n">
        <f aca="false">C21*C10</f>
        <v>73776</v>
      </c>
      <c r="D22" s="9" t="n">
        <f aca="false">D21*D10</f>
        <v>61908</v>
      </c>
      <c r="E22" s="9" t="n">
        <f aca="false">E21*E10</f>
        <v>0</v>
      </c>
      <c r="F22" s="17" t="n">
        <f aca="false">SUM(B22:E22)</f>
        <v>141612</v>
      </c>
    </row>
    <row r="23" customFormat="false" ht="15" hidden="false" customHeight="false" outlineLevel="0" collapsed="false">
      <c r="A23" s="5" t="s">
        <v>70</v>
      </c>
      <c r="B23" s="9" t="n">
        <f aca="false">B21*B17*Paramètres!$G$13</f>
        <v>6609.6</v>
      </c>
      <c r="C23" s="9" t="n">
        <f aca="false">C21*C17*Paramètres!$G$13</f>
        <v>72216</v>
      </c>
      <c r="D23" s="9" t="n">
        <f aca="false">D21*D17*Paramètres!$G$13</f>
        <v>60588</v>
      </c>
      <c r="E23" s="9" t="n">
        <f aca="false">E21*E17*Paramètres!$G$13</f>
        <v>0</v>
      </c>
      <c r="F23" s="17" t="n">
        <f aca="false">SUM(B23:E23)</f>
        <v>139413.6</v>
      </c>
    </row>
    <row r="25" customFormat="false" ht="15" hidden="false" customHeight="false" outlineLevel="0" collapsed="false">
      <c r="A25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6"/>
    <col collapsed="false" customWidth="true" hidden="false" outlineLevel="0" max="17" min="17" style="0" width="36"/>
    <col collapsed="false" customWidth="true" hidden="false" outlineLevel="0" max="19" min="19" style="0" width="28"/>
    <col collapsed="false" customWidth="true" hidden="false" outlineLevel="0" max="20" min="20" style="0" width="10"/>
  </cols>
  <sheetData>
    <row r="1" customFormat="false" ht="19.7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4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82</v>
      </c>
      <c r="J4" s="4" t="s">
        <v>83</v>
      </c>
      <c r="K4" s="4" t="s">
        <v>84</v>
      </c>
      <c r="L4" s="4" t="s">
        <v>85</v>
      </c>
      <c r="M4" s="4" t="s">
        <v>86</v>
      </c>
      <c r="N4" s="4" t="s">
        <v>87</v>
      </c>
      <c r="O4" s="4" t="s">
        <v>88</v>
      </c>
      <c r="P4" s="4" t="s">
        <v>89</v>
      </c>
      <c r="Q4" s="4" t="s">
        <v>90</v>
      </c>
      <c r="S4" s="10" t="s">
        <v>91</v>
      </c>
    </row>
    <row r="5" customFormat="false" ht="15" hidden="false" customHeight="false" outlineLevel="0" collapsed="false">
      <c r="A5" s="21" t="s">
        <v>92</v>
      </c>
      <c r="B5" s="21" t="s">
        <v>93</v>
      </c>
      <c r="C5" s="21" t="s">
        <v>94</v>
      </c>
      <c r="D5" s="21" t="s">
        <v>95</v>
      </c>
      <c r="E5" s="21" t="s">
        <v>96</v>
      </c>
      <c r="F5" s="21" t="s">
        <v>97</v>
      </c>
      <c r="G5" s="22" t="n">
        <v>25</v>
      </c>
      <c r="H5" s="21" t="s">
        <v>98</v>
      </c>
      <c r="I5" s="23" t="n">
        <v>14000</v>
      </c>
      <c r="J5" s="21" t="s">
        <v>99</v>
      </c>
      <c r="K5" s="21" t="s">
        <v>100</v>
      </c>
      <c r="L5" s="21" t="s">
        <v>101</v>
      </c>
      <c r="M5" s="21" t="s">
        <v>13</v>
      </c>
      <c r="N5" s="21" t="s">
        <v>102</v>
      </c>
      <c r="O5" s="21"/>
      <c r="P5" s="21" t="s">
        <v>103</v>
      </c>
      <c r="Q5" s="21" t="s">
        <v>104</v>
      </c>
      <c r="S5" s="11" t="s">
        <v>105</v>
      </c>
      <c r="T5" s="24" t="n">
        <f aca="false">COUNTA(B5:B200)</f>
        <v>1</v>
      </c>
    </row>
    <row r="6" customFormat="false" ht="15" hidden="false" customHeight="false" outlineLevel="0" collapsed="false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S6" s="11" t="s">
        <v>106</v>
      </c>
      <c r="T6" s="24" t="n">
        <f aca="false">COUNTIFS(J5:J200,"&lt;&gt;À contacter",J5:J200,"&lt;&gt;Contacté",B5:B200,"&lt;&gt;")</f>
        <v>1</v>
      </c>
    </row>
    <row r="7" customFormat="false" ht="15" hidden="false" customHeight="fals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S7" s="11" t="s">
        <v>107</v>
      </c>
      <c r="T7" s="24" t="n">
        <f aca="false">COUNTA(K5:K200)</f>
        <v>1</v>
      </c>
    </row>
    <row r="8" customFormat="false" ht="15" hidden="false" customHeight="fals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S8" s="11" t="s">
        <v>108</v>
      </c>
      <c r="T8" s="24" t="n">
        <f aca="false">COUNTA(L5:L200)</f>
        <v>1</v>
      </c>
    </row>
    <row r="9" customFormat="false" ht="15" hidden="false" customHeight="fals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S9" s="11" t="s">
        <v>44</v>
      </c>
      <c r="T9" s="24" t="n">
        <f aca="false">COUNTIF(J5:J200,"Signé")</f>
        <v>0</v>
      </c>
    </row>
    <row r="10" customFormat="false" ht="15" hidden="false" customHeight="false" outlineLevel="0" collapsed="false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S10" s="11" t="s">
        <v>109</v>
      </c>
      <c r="T10" s="26" t="n">
        <f aca="false">IF(T5=0,0,T9/T5)</f>
        <v>0</v>
      </c>
    </row>
    <row r="11" customFormat="false" ht="15" hidden="false" customHeight="fals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customFormat="false" ht="15" hidden="false" customHeight="fals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customFormat="false" ht="15" hidden="false" customHeight="fals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</sheetData>
  <dataValidations count="3">
    <dataValidation allowBlank="true" errorStyle="stop" operator="between" showDropDown="false" showErrorMessage="false" showInputMessage="false" sqref="J5:J200" type="list">
      <formula1>"À contacter,Contacté,Fiche besoins faite,Lead déclaré,Démo planifiée,Démo faite,Devis envoyé,Signé,Perdu"</formula1>
      <formula2>0</formula2>
    </dataValidation>
    <dataValidation allowBlank="true" errorStyle="stop" operator="between" showDropDown="false" showErrorMessage="false" showInputMessage="false" sqref="M5:M200" type="list">
      <formula1>"ESSENTIEL,ADHÉSION SERVICE PLUS,ADHÉSION SERVICE PREMIUM,ADHÉSION SERVICE ULTIMATE"</formula1>
      <formula2>0</formula2>
    </dataValidation>
    <dataValidation allowBlank="true" errorStyle="stop" operator="between" showDropDown="false" showErrorMessage="false" showInputMessage="false" sqref="N5:N20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2026-08-25T21:55:01Z</dcterms:created>
  <dc:creator>openpyxl</dc:creator>
  <dc:description/>
  <dc:language>en-US</dc:language>
  <cp:lastModifiedBy/>
  <dcterms:modified xsi:type="dcterms:W3CDTF">2026-08-25T21:55:01Z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