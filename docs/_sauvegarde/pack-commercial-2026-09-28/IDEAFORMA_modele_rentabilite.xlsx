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èses" sheetId="1" state="visible" r:id="rId3"/>
    <sheet name="Grille tarifaire" sheetId="2" state="visible" r:id="rId4"/>
    <sheet name="Rentabilité" sheetId="3" state="visible" r:id="rId5"/>
    <sheet name="Collaborateu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<sst xmlns="http://schemas.openxmlformats.org/spreadsheetml/2006/main" count="82" uniqueCount="76">
  <si>
    <t xml:space="preserve">HYPOTHÈSES DU MODÈLE — à ajuster (cellules jaunes)</t>
  </si>
  <si>
    <t xml:space="preserve">TARIFS DE VENTE AUX GARAGES (HT)</t>
  </si>
  <si>
    <t xml:space="preserve">Abonnement appli My Easy Auto seule (€ / mois)</t>
  </si>
  <si>
    <t xml:space="preserve">Marché des logiciels garage : 29–59 € (AutoProGestion) ; l'IA d'extraction justifie un positionnement supérieur.</t>
  </si>
  <si>
    <t xml:space="preserve">Taux horaire secrétariat — forfait 10 h (€ / h)</t>
  </si>
  <si>
    <t xml:space="preserve">Dégressif : plus le garage s'engage, moins l'heure coûte.</t>
  </si>
  <si>
    <t xml:space="preserve">Taux horaire secrétariat — forfait 20 h (€ / h)</t>
  </si>
  <si>
    <t xml:space="preserve">Marché secrétaire indépendante : 30–50 € / h (spécialisation sinistres = haut de fourchette).</t>
  </si>
  <si>
    <t xml:space="preserve">Taux horaire secrétariat — forfait 40 h (€ / h)</t>
  </si>
  <si>
    <t xml:space="preserve">Heure hors forfait / dépassement (€ / h)</t>
  </si>
  <si>
    <t xml:space="preserve">Aligné sur le haut du marché : incite à prendre un forfait supérieur.</t>
  </si>
  <si>
    <t xml:space="preserve">Mise en service + formation (€, une fois)</t>
  </si>
  <si>
    <t xml:space="preserve">Offerte si engagement 12 mois (levier de négociation).</t>
  </si>
  <si>
    <t xml:space="preserve">RÉTROCESSION COLLABORATEUR (auto-entrepreneur)</t>
  </si>
  <si>
    <t xml:space="preserve">Part du CA secrétariat reversée au collaborateur</t>
  </si>
  <si>
    <t xml:space="preserve">65 % : taux attractif vs plateformes (50–60 %) tout en préservant la marge.</t>
  </si>
  <si>
    <t xml:space="preserve">Cotisations sociales auto-entrepreneur (indicatif)</t>
  </si>
  <si>
    <t xml:space="preserve">Prestations de services BNC 2026 ≈ 26,2 % — à vérifier selon le statut réel du collaborateur.</t>
  </si>
  <si>
    <t xml:space="preserve">COÛTS IDEA FORMA PAR GARAGE ACTIF (€ / mois)</t>
  </si>
  <si>
    <t xml:space="preserve">Hébergement + base de données (Vercel / Supabase, quote-part)</t>
  </si>
  <si>
    <t xml:space="preserve">Forfaits Pro ≈ 20 $ + 25 $ / mois répartis sur le parc de garages.</t>
  </si>
  <si>
    <t xml:space="preserve">API IA — extraction des rapports (quote-part)</t>
  </si>
  <si>
    <t xml:space="preserve">Dépend du quota d'analyses / garage / mois (voir Consommation IA dans l'appli).</t>
  </si>
  <si>
    <t xml:space="preserve">Outils divers (mail, signature, sauvegardes…)</t>
  </si>
  <si>
    <t xml:space="preserve">COÛTS FIXES IDEA FORMA (€ / mois, tout le parc)</t>
  </si>
  <si>
    <t xml:space="preserve">Comptabilité, assurance RC pro, bancaire</t>
  </si>
  <si>
    <t xml:space="preserve">RC pro indispensable (traitement de données clients des garages).</t>
  </si>
  <si>
    <t xml:space="preserve">Commercial / déplacements / impression plaquettes</t>
  </si>
  <si>
    <t xml:space="preserve">ACTIVITÉ MOYENNE</t>
  </si>
  <si>
    <t xml:space="preserve">Heures moyennes réellement consommées / garage / mois</t>
  </si>
  <si>
    <t xml:space="preserve">Base forfait CONFORT — sert aux simulations.</t>
  </si>
  <si>
    <t xml:space="preserve">Légende : cellules JAUNES = hypothèses à ajuster (texte bleu). Le reste du classeur se recalcule automatiquement.</t>
  </si>
  <si>
    <t xml:space="preserve">Sources marché : plateya.fr (35–50 €/h, forfaits 500–800 €/mois), kmfservices.fr (20–50 €/h), autoprogestion.fr (logiciel 29–59 €/mois).</t>
  </si>
  <si>
    <t xml:space="preserve">GRILLE TARIFAIRE CLIENT — € HT / mois</t>
  </si>
  <si>
    <t xml:space="preserve">Formule</t>
  </si>
  <si>
    <t xml:space="preserve">ESSENTIEL</t>
  </si>
  <si>
    <t xml:space="preserve">STARTER</t>
  </si>
  <si>
    <t xml:space="preserve">CONFORT</t>
  </si>
  <si>
    <t xml:space="preserve">SÉRÉNITÉ</t>
  </si>
  <si>
    <t xml:space="preserve">Heures de secrétariat incluses</t>
  </si>
  <si>
    <t xml:space="preserve">Appli My Easy Auto incluse</t>
  </si>
  <si>
    <t xml:space="preserve">Oui</t>
  </si>
  <si>
    <t xml:space="preserve">Taux horaire appliqué (€/h)</t>
  </si>
  <si>
    <t xml:space="preserve">—</t>
  </si>
  <si>
    <t xml:space="preserve">Prix mensuel HT</t>
  </si>
  <si>
    <t xml:space="preserve">Heure supplémentaire (€/h HT)</t>
  </si>
  <si>
    <t xml:space="preserve">Mise en service (une fois, HT)</t>
  </si>
  <si>
    <t xml:space="preserve">Mise en service offerte pour tout engagement de 12 mois. TVA en sus selon le régime fiscal d'IDEA FORMA.</t>
  </si>
  <si>
    <t xml:space="preserve">RENTABILITÉ IDEA FORMA — PAR GARAGE ET PAR PARC</t>
  </si>
  <si>
    <t xml:space="preserve">Par garage / mois</t>
  </si>
  <si>
    <t xml:space="preserve">Appli seule</t>
  </si>
  <si>
    <t xml:space="preserve">Chiffre d'affaires HT</t>
  </si>
  <si>
    <t xml:space="preserve">dont part secrétariat</t>
  </si>
  <si>
    <t xml:space="preserve">Rétrocession collaborateur</t>
  </si>
  <si>
    <t xml:space="preserve">Coûts techniques (hébergement + IA + outils)</t>
  </si>
  <si>
    <t xml:space="preserve">MARGE BRUTE / garage / mois</t>
  </si>
  <si>
    <t xml:space="preserve">Marge en % du CA</t>
  </si>
  <si>
    <t xml:space="preserve">SEUIL DE RENTABILITÉ (couverture des coûts fixes mensuels)</t>
  </si>
  <si>
    <t xml:space="preserve">Coûts fixes mensuels IDEA FORMA</t>
  </si>
  <si>
    <t xml:space="preserve">Nombre de garages CONFORT pour couvrir les coûts fixes</t>
  </si>
  <si>
    <t xml:space="preserve">PROJECTION — PARC DE GARAGES (répartition : 30 % STARTER, 50 % CONFORT, 20 % SÉRÉNITÉ)</t>
  </si>
  <si>
    <t xml:space="preserve">Nb de garages</t>
  </si>
  <si>
    <t xml:space="preserve">CA mensuel HT</t>
  </si>
  <si>
    <t xml:space="preserve">Marge brute</t>
  </si>
  <si>
    <t xml:space="preserve">− Coûts fixes</t>
  </si>
  <si>
    <t xml:space="preserve">Résultat / mois</t>
  </si>
  <si>
    <t xml:space="preserve">Répartition du parc modifiable dans les formules de la colonne CA. Résultat avant impôt et rémunération du dirigeant.</t>
  </si>
  <si>
    <t xml:space="preserve">REVENUS DU COLLABORATEUR (auto-entrepreneur)</t>
  </si>
  <si>
    <t xml:space="preserve">Taux horaire moyen rétrocédé (base forfait CONFORT)</t>
  </si>
  <si>
    <t xml:space="preserve">Garages suivis</t>
  </si>
  <si>
    <t xml:space="preserve">Heures / mois</t>
  </si>
  <si>
    <t xml:space="preserve">CA mensuel</t>
  </si>
  <si>
    <t xml:space="preserve">Cotisations</t>
  </si>
  <si>
    <t xml:space="preserve">Net avant IR</t>
  </si>
  <si>
    <t xml:space="preserve">Un collaborateur à 7 garages (≈ 140 h/mois) dégage un revenu comparable à un temps plein salarié, sans trajet.</t>
  </si>
  <si>
    <t xml:space="preserve">Cotisations : taux indicatif micro-entrepreneur, à vérifier selon l'activité déclarée (URSSAF). Hors impôt sur le revenu / VFL.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</si>
</sst>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 €&quot;"/>
    <numFmt numFmtId="166" formatCode="0.0%"/>
    <numFmt numFmtId="167" formatCode="0"/>
    <numFmt numFmtId="168" formatCode="#,##0&quot; €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sz val="10"/>
      <color rgb="FF1E2233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0"/>
      <color rgb="FF1E22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DB2777"/>
      <name val="Arial"/>
      <family val="0"/>
      <charset val="1"/>
    </font>
    <font>
      <b val="true"/>
      <sz val="11"/>
      <color rgb="FFDB2777"/>
      <name val="Arial"/>
      <family val="0"/>
      <charset val="1"/>
    </font>
    <font>
      <b val="true"/>
      <sz val="10"/>
      <color rgb="FFDB2777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7C3AED"/>
        <bgColor rgb="FF333399"/>
      </patternFill>
    </fill>
    <fill>
      <patternFill patternType="solid">
        <fgColor rgb="FFEDE9FE"/>
        <bgColor rgb="FFE4E6F0"/>
      </patternFill>
    </fill>
    <fill>
      <patternFill patternType="solid">
        <fgColor rgb="FFFFFF00"/>
        <bgColor rgb="FFFFFF00"/>
      </patternFill>
    </fill>
    <fill>
      <patternFill patternType="solid">
        <fgColor rgb="FFF6F7FB"/>
        <bgColor rgb="FFFFFFFF"/>
      </patternFill>
    </fill>
    <fill>
      <patternFill patternType="solid">
        <fgColor rgb="FFFCE7F3"/>
        <bgColor rgb="FFEDE9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E6F0"/>
      </left>
      <right style="thin">
        <color rgb="FFE4E6F0"/>
      </right>
      <top style="thin">
        <color rgb="FFE4E6F0"/>
      </top>
      <bottom style="thin">
        <color rgb="FFE4E6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B2777"/>
      <rgbColor rgb="FFF6F7FB"/>
      <rgbColor rgb="FFE4E6F0"/>
      <rgbColor rgb="FF660066"/>
      <rgbColor rgb="FFFF8080"/>
      <rgbColor rgb="FF0066CC"/>
      <rgbColor rgb="FFFCE7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9F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7C3AED"/>
      <rgbColor rgb="FF333399"/>
      <rgbColor rgb="FF1E2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60"/>
  </cols>
  <sheetData>
    <row r="2" customFormat="false" ht="25.5" hidden="false" customHeight="true" outlineLevel="0" collapsed="false">
      <c r="B2" s="1" t="s">
        <v>0</v>
      </c>
      <c r="C2" s="1"/>
      <c r="D2" s="1"/>
    </row>
    <row r="4" customFormat="false" ht="15" hidden="false" customHeight="false" outlineLevel="0" collapsed="false">
      <c r="B4" s="2" t="s">
        <v>1</v>
      </c>
      <c r="C4" s="2"/>
      <c r="D4" s="2"/>
    </row>
    <row r="5" customFormat="false" ht="19.4" hidden="false" customHeight="false" outlineLevel="0" collapsed="false">
      <c r="B5" s="3" t="s">
        <v>2</v>
      </c>
      <c r="C5" s="4" t="n">
        <v>79</v>
      </c>
      <c r="D5" s="5" t="s">
        <v>3</v>
      </c>
    </row>
    <row r="6" customFormat="false" ht="15" hidden="false" customHeight="false" outlineLevel="0" collapsed="false">
      <c r="B6" s="3" t="s">
        <v>4</v>
      </c>
      <c r="C6" s="4" t="n">
        <v>41.1</v>
      </c>
      <c r="D6" s="5" t="s">
        <v>5</v>
      </c>
    </row>
    <row r="7" customFormat="false" ht="19.4" hidden="false" customHeight="false" outlineLevel="0" collapsed="false">
      <c r="B7" s="3" t="s">
        <v>6</v>
      </c>
      <c r="C7" s="4" t="n">
        <v>39.05</v>
      </c>
      <c r="D7" s="5" t="s">
        <v>7</v>
      </c>
    </row>
    <row r="8" customFormat="false" ht="15" hidden="false" customHeight="false" outlineLevel="0" collapsed="false">
      <c r="B8" s="3" t="s">
        <v>8</v>
      </c>
      <c r="C8" s="4" t="n">
        <v>37.275</v>
      </c>
      <c r="D8" s="5"/>
    </row>
    <row r="9" customFormat="false" ht="15" hidden="false" customHeight="false" outlineLevel="0" collapsed="false">
      <c r="B9" s="3" t="s">
        <v>9</v>
      </c>
      <c r="C9" s="4" t="n">
        <v>45</v>
      </c>
      <c r="D9" s="5" t="s">
        <v>10</v>
      </c>
    </row>
    <row r="10" customFormat="false" ht="15" hidden="false" customHeight="false" outlineLevel="0" collapsed="false">
      <c r="B10" s="3" t="s">
        <v>11</v>
      </c>
      <c r="C10" s="4" t="n">
        <v>290</v>
      </c>
      <c r="D10" s="5" t="s">
        <v>12</v>
      </c>
    </row>
    <row r="11" customFormat="false" ht="15" hidden="false" customHeight="false" outlineLevel="0" collapsed="false">
      <c r="B11" s="2" t="s">
        <v>13</v>
      </c>
      <c r="C11" s="2"/>
      <c r="D11" s="2"/>
    </row>
    <row r="12" customFormat="false" ht="15" hidden="false" customHeight="false" outlineLevel="0" collapsed="false">
      <c r="B12" s="3" t="s">
        <v>14</v>
      </c>
      <c r="C12" s="6" t="n">
        <v>0.65</v>
      </c>
      <c r="D12" s="5" t="s">
        <v>15</v>
      </c>
    </row>
    <row r="13" customFormat="false" ht="19.4" hidden="false" customHeight="false" outlineLevel="0" collapsed="false">
      <c r="B13" s="3" t="s">
        <v>16</v>
      </c>
      <c r="C13" s="6" t="n">
        <v>0.262</v>
      </c>
      <c r="D13" s="5" t="s">
        <v>17</v>
      </c>
    </row>
    <row r="14" customFormat="false" ht="15" hidden="false" customHeight="false" outlineLevel="0" collapsed="false">
      <c r="B14" s="2" t="s">
        <v>18</v>
      </c>
      <c r="C14" s="2"/>
      <c r="D14" s="2"/>
    </row>
    <row r="15" customFormat="false" ht="15" hidden="false" customHeight="false" outlineLevel="0" collapsed="false">
      <c r="B15" s="3" t="s">
        <v>19</v>
      </c>
      <c r="C15" s="4" t="n">
        <v>8</v>
      </c>
      <c r="D15" s="5" t="s">
        <v>20</v>
      </c>
    </row>
    <row r="16" customFormat="false" ht="15" hidden="false" customHeight="false" outlineLevel="0" collapsed="false">
      <c r="B16" s="3" t="s">
        <v>21</v>
      </c>
      <c r="C16" s="4" t="n">
        <v>12</v>
      </c>
      <c r="D16" s="5" t="s">
        <v>22</v>
      </c>
    </row>
    <row r="17" customFormat="false" ht="15" hidden="false" customHeight="false" outlineLevel="0" collapsed="false">
      <c r="B17" s="3" t="s">
        <v>23</v>
      </c>
      <c r="C17" s="4" t="n">
        <v>5</v>
      </c>
      <c r="D17" s="5"/>
    </row>
    <row r="18" customFormat="false" ht="15" hidden="false" customHeight="false" outlineLevel="0" collapsed="false">
      <c r="B18" s="2" t="s">
        <v>24</v>
      </c>
      <c r="C18" s="2"/>
      <c r="D18" s="2"/>
    </row>
    <row r="19" customFormat="false" ht="15" hidden="false" customHeight="false" outlineLevel="0" collapsed="false">
      <c r="B19" s="3" t="s">
        <v>25</v>
      </c>
      <c r="C19" s="4" t="n">
        <v>120</v>
      </c>
      <c r="D19" s="5" t="s">
        <v>26</v>
      </c>
    </row>
    <row r="20" customFormat="false" ht="15" hidden="false" customHeight="false" outlineLevel="0" collapsed="false">
      <c r="B20" s="3" t="s">
        <v>27</v>
      </c>
      <c r="C20" s="4" t="n">
        <v>150</v>
      </c>
      <c r="D20" s="5"/>
    </row>
    <row r="21" customFormat="false" ht="15" hidden="false" customHeight="false" outlineLevel="0" collapsed="false">
      <c r="B21" s="2" t="s">
        <v>28</v>
      </c>
      <c r="C21" s="2"/>
      <c r="D21" s="2"/>
    </row>
    <row r="22" customFormat="false" ht="15" hidden="false" customHeight="false" outlineLevel="0" collapsed="false">
      <c r="B22" s="3" t="s">
        <v>29</v>
      </c>
      <c r="C22" s="4" t="n">
        <v>20</v>
      </c>
      <c r="D22" s="5" t="s">
        <v>30</v>
      </c>
    </row>
    <row r="24" customFormat="false" ht="15" hidden="false" customHeight="false" outlineLevel="0" collapsed="false">
      <c r="B24" s="7" t="s">
        <v>31</v>
      </c>
    </row>
    <row r="25" customFormat="false" ht="15" hidden="false" customHeight="false" outlineLevel="0" collapsed="false">
      <c r="B25" s="7" t="s">
        <v>32</v>
      </c>
    </row>
  </sheetData>
  <mergeCells count="6">
    <mergeCell ref="B2:D2"/>
    <mergeCell ref="B4:D4"/>
    <mergeCell ref="B11:D11"/>
    <mergeCell ref="B14:D14"/>
    <mergeCell ref="B18:D18"/>
    <mergeCell ref="B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6"/>
    <col collapsed="false" customWidth="true" hidden="false" outlineLevel="0" max="7" min="7" style="0" width="18"/>
  </cols>
  <sheetData>
    <row r="2" customFormat="false" ht="25.5" hidden="false" customHeight="true" outlineLevel="0" collapsed="false">
      <c r="B2" s="1" t="s">
        <v>33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8" t="s">
        <v>34</v>
      </c>
      <c r="C4" s="9" t="s">
        <v>35</v>
      </c>
      <c r="D4" s="9" t="s">
        <v>36</v>
      </c>
      <c r="E4" s="9" t="s">
        <v>37</v>
      </c>
      <c r="F4" s="9" t="s">
        <v>38</v>
      </c>
    </row>
    <row r="5" customFormat="false" ht="15" hidden="false" customHeight="false" outlineLevel="0" collapsed="false">
      <c r="B5" s="3" t="s">
        <v>39</v>
      </c>
      <c r="C5" s="10" t="n">
        <v>0</v>
      </c>
      <c r="D5" s="10" t="n">
        <v>10</v>
      </c>
      <c r="E5" s="10" t="n">
        <v>20</v>
      </c>
      <c r="F5" s="10" t="n">
        <v>40</v>
      </c>
    </row>
    <row r="6" customFormat="false" ht="15" hidden="false" customHeight="false" outlineLevel="0" collapsed="false">
      <c r="B6" s="11" t="s">
        <v>40</v>
      </c>
      <c r="C6" s="12" t="s">
        <v>41</v>
      </c>
      <c r="D6" s="12" t="s">
        <v>41</v>
      </c>
      <c r="E6" s="12" t="s">
        <v>41</v>
      </c>
      <c r="F6" s="12" t="s">
        <v>41</v>
      </c>
    </row>
    <row r="7" customFormat="false" ht="15" hidden="false" customHeight="false" outlineLevel="0" collapsed="false">
      <c r="B7" s="3" t="s">
        <v>42</v>
      </c>
      <c r="C7" s="13" t="s">
        <v>43</v>
      </c>
      <c r="D7" s="14" t="n">
        <f aca="false">Hypothèses!C6</f>
        <v>41.1</v>
      </c>
      <c r="E7" s="14" t="n">
        <f aca="false">Hypothèses!C7</f>
        <v>39.05</v>
      </c>
      <c r="F7" s="14" t="n">
        <f aca="false">Hypothèses!C8</f>
        <v>37.275</v>
      </c>
    </row>
    <row r="8" customFormat="false" ht="15" hidden="false" customHeight="false" outlineLevel="0" collapsed="false">
      <c r="B8" s="11" t="s">
        <v>44</v>
      </c>
      <c r="C8" s="15" t="n">
        <f aca="false">Hypothèses!C5</f>
        <v>79</v>
      </c>
      <c r="D8" s="15" t="n">
        <f aca="false">Hypothèses!C5+D5*D7</f>
        <v>490</v>
      </c>
      <c r="E8" s="15" t="n">
        <f aca="false">Hypothèses!C5+E5*E7</f>
        <v>860</v>
      </c>
      <c r="F8" s="15" t="n">
        <f aca="false">Hypothèses!C5+F5*F7</f>
        <v>1570</v>
      </c>
    </row>
    <row r="9" customFormat="false" ht="15" hidden="false" customHeight="false" outlineLevel="0" collapsed="false">
      <c r="B9" s="3" t="s">
        <v>45</v>
      </c>
      <c r="C9" s="16" t="n">
        <f aca="false">Hypothèses!C9</f>
        <v>45</v>
      </c>
      <c r="D9" s="16" t="n">
        <f aca="false">Hypothèses!C9</f>
        <v>45</v>
      </c>
      <c r="E9" s="16" t="n">
        <f aca="false">Hypothèses!C9</f>
        <v>45</v>
      </c>
      <c r="F9" s="16" t="n">
        <f aca="false">Hypothèses!C9</f>
        <v>45</v>
      </c>
    </row>
    <row r="10" customFormat="false" ht="15" hidden="false" customHeight="false" outlineLevel="0" collapsed="false">
      <c r="B10" s="11" t="s">
        <v>46</v>
      </c>
      <c r="C10" s="16" t="n">
        <f aca="false">Hypothèses!C10</f>
        <v>290</v>
      </c>
      <c r="D10" s="16" t="n">
        <f aca="false">Hypothèses!C10</f>
        <v>290</v>
      </c>
      <c r="E10" s="16" t="n">
        <f aca="false">Hypothèses!C10</f>
        <v>290</v>
      </c>
      <c r="F10" s="16" t="n">
        <f aca="false">Hypothèses!C10</f>
        <v>290</v>
      </c>
    </row>
    <row r="12" customFormat="false" ht="15" hidden="false" customHeight="false" outlineLevel="0" collapsed="false">
      <c r="B12" s="7" t="s">
        <v>47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6" min="3" style="0" width="15"/>
  </cols>
  <sheetData>
    <row r="2" customFormat="false" ht="25.5" hidden="false" customHeight="true" outlineLevel="0" collapsed="false">
      <c r="B2" s="1" t="s">
        <v>48</v>
      </c>
      <c r="C2" s="1"/>
      <c r="D2" s="1"/>
      <c r="E2" s="1"/>
      <c r="F2" s="1"/>
    </row>
    <row r="4" customFormat="false" ht="15" hidden="false" customHeight="false" outlineLevel="0" collapsed="false">
      <c r="B4" s="17" t="s">
        <v>49</v>
      </c>
      <c r="C4" s="9" t="s">
        <v>36</v>
      </c>
      <c r="D4" s="9" t="s">
        <v>37</v>
      </c>
      <c r="E4" s="9" t="s">
        <v>38</v>
      </c>
      <c r="F4" s="9" t="s">
        <v>50</v>
      </c>
    </row>
    <row r="5" customFormat="false" ht="15" hidden="false" customHeight="false" outlineLevel="0" collapsed="false">
      <c r="B5" s="3" t="s">
        <v>51</v>
      </c>
      <c r="C5" s="16" t="n">
        <f aca="false">'Grille tarifaire'!D8</f>
        <v>490</v>
      </c>
      <c r="D5" s="16" t="n">
        <f aca="false">'Grille tarifaire'!E8</f>
        <v>860</v>
      </c>
      <c r="E5" s="16" t="n">
        <f aca="false">'Grille tarifaire'!F8</f>
        <v>1570</v>
      </c>
      <c r="F5" s="16" t="n">
        <f aca="false">Hypothèses!C5</f>
        <v>79</v>
      </c>
    </row>
    <row r="6" customFormat="false" ht="15" hidden="false" customHeight="false" outlineLevel="0" collapsed="false">
      <c r="B6" s="3" t="s">
        <v>52</v>
      </c>
      <c r="C6" s="16" t="n">
        <f aca="false">C5-Hypothèses!$C$5</f>
        <v>411</v>
      </c>
      <c r="D6" s="16" t="n">
        <f aca="false">D5-Hypothèses!$C$5</f>
        <v>781</v>
      </c>
      <c r="E6" s="16" t="n">
        <f aca="false">E5-Hypothèses!$C$5</f>
        <v>1491</v>
      </c>
      <c r="F6" s="18" t="n">
        <v>0</v>
      </c>
    </row>
    <row r="7" customFormat="false" ht="15" hidden="false" customHeight="false" outlineLevel="0" collapsed="false">
      <c r="B7" s="3" t="s">
        <v>53</v>
      </c>
      <c r="C7" s="16" t="n">
        <f aca="false">-C6*Hypothèses!$C$12</f>
        <v>-267.15</v>
      </c>
      <c r="D7" s="16" t="n">
        <f aca="false">-D6*Hypothèses!$C$12</f>
        <v>-507.65</v>
      </c>
      <c r="E7" s="16" t="n">
        <f aca="false">-E6*Hypothèses!$C$12</f>
        <v>-969.15</v>
      </c>
      <c r="F7" s="18" t="n">
        <v>0</v>
      </c>
    </row>
    <row r="8" customFormat="false" ht="15" hidden="false" customHeight="false" outlineLevel="0" collapsed="false">
      <c r="B8" s="3" t="s">
        <v>54</v>
      </c>
      <c r="C8" s="16" t="n">
        <f aca="false">-(Hypothèses!$C$15+Hypothèses!$C$16+Hypothèses!$C$17)</f>
        <v>-25</v>
      </c>
      <c r="D8" s="16" t="n">
        <f aca="false">-(Hypothèses!$C$15+Hypothèses!$C$16+Hypothèses!$C$17)</f>
        <v>-25</v>
      </c>
      <c r="E8" s="16" t="n">
        <f aca="false">-(Hypothèses!$C$15+Hypothèses!$C$16+Hypothèses!$C$17)</f>
        <v>-25</v>
      </c>
      <c r="F8" s="16" t="n">
        <f aca="false">-(Hypothèses!$C$15+Hypothèses!$C$16+Hypothèses!$C$17)</f>
        <v>-25</v>
      </c>
    </row>
    <row r="9" customFormat="false" ht="15" hidden="false" customHeight="false" outlineLevel="0" collapsed="false">
      <c r="B9" s="17" t="s">
        <v>55</v>
      </c>
      <c r="C9" s="19" t="n">
        <f aca="false">C5+C7+C8</f>
        <v>197.85</v>
      </c>
      <c r="D9" s="19" t="n">
        <f aca="false">D5+D7+D8</f>
        <v>327.35</v>
      </c>
      <c r="E9" s="19" t="n">
        <f aca="false">E5+E7+E8</f>
        <v>575.85</v>
      </c>
      <c r="F9" s="19" t="n">
        <f aca="false">F5+F7+F8</f>
        <v>54</v>
      </c>
    </row>
    <row r="10" customFormat="false" ht="15" hidden="false" customHeight="false" outlineLevel="0" collapsed="false">
      <c r="B10" s="3" t="s">
        <v>56</v>
      </c>
      <c r="C10" s="20" t="n">
        <f aca="false">C9/C5</f>
        <v>0.403775510204082</v>
      </c>
      <c r="D10" s="20" t="n">
        <f aca="false">D9/D5</f>
        <v>0.380639534883721</v>
      </c>
      <c r="E10" s="20" t="n">
        <f aca="false">E9/E5</f>
        <v>0.366783439490446</v>
      </c>
      <c r="F10" s="20" t="n">
        <f aca="false">F9/F5</f>
        <v>0.683544303797468</v>
      </c>
    </row>
    <row r="12" customFormat="false" ht="15" hidden="false" customHeight="false" outlineLevel="0" collapsed="false">
      <c r="B12" s="2" t="s">
        <v>57</v>
      </c>
      <c r="C12" s="2"/>
      <c r="D12" s="2"/>
      <c r="E12" s="2"/>
      <c r="F12" s="2"/>
    </row>
    <row r="13" customFormat="false" ht="15" hidden="false" customHeight="false" outlineLevel="0" collapsed="false">
      <c r="B13" s="3" t="s">
        <v>58</v>
      </c>
      <c r="C13" s="21" t="n">
        <f aca="false">Hypothèses!C19+Hypothèses!C20</f>
        <v>270</v>
      </c>
    </row>
    <row r="14" customFormat="false" ht="15" hidden="false" customHeight="false" outlineLevel="0" collapsed="false">
      <c r="B14" s="17" t="s">
        <v>59</v>
      </c>
      <c r="C14" s="22" t="n">
        <f aca="false">ROUNDUP(C13/D9,0)</f>
        <v>1</v>
      </c>
    </row>
    <row r="16" customFormat="false" ht="15" hidden="false" customHeight="false" outlineLevel="0" collapsed="false">
      <c r="B16" s="2" t="s">
        <v>60</v>
      </c>
      <c r="C16" s="2"/>
      <c r="D16" s="2"/>
      <c r="E16" s="2"/>
      <c r="F16" s="2"/>
    </row>
    <row r="17" customFormat="false" ht="15" hidden="false" customHeight="false" outlineLevel="0" collapsed="false">
      <c r="B17" s="9" t="s">
        <v>61</v>
      </c>
      <c r="C17" s="9" t="s">
        <v>62</v>
      </c>
      <c r="D17" s="9" t="s">
        <v>63</v>
      </c>
      <c r="E17" s="9" t="s">
        <v>64</v>
      </c>
      <c r="F17" s="9" t="s">
        <v>65</v>
      </c>
    </row>
    <row r="18" customFormat="false" ht="15" hidden="false" customHeight="false" outlineLevel="0" collapsed="false">
      <c r="B18" s="23" t="n">
        <v>2</v>
      </c>
      <c r="C18" s="18" t="n">
        <f aca="false">B18*(0.3*'Grille tarifaire'!$D$8+0.5*'Grille tarifaire'!$E$8+0.2*'Grille tarifaire'!$F$8)</f>
        <v>1782</v>
      </c>
      <c r="D18" s="18" t="n">
        <f aca="false">B18*(0.3*$C$9+0.5*$D$9+0.2*$E$9)</f>
        <v>676.4</v>
      </c>
      <c r="E18" s="18" t="n">
        <f aca="false">-($C$13)</f>
        <v>-270</v>
      </c>
      <c r="F18" s="24" t="n">
        <f aca="false">D18+E18</f>
        <v>406.4</v>
      </c>
    </row>
    <row r="19" customFormat="false" ht="15" hidden="false" customHeight="false" outlineLevel="0" collapsed="false">
      <c r="B19" s="23" t="n">
        <v>5</v>
      </c>
      <c r="C19" s="18" t="n">
        <f aca="false">B19*(0.3*'Grille tarifaire'!$D$8+0.5*'Grille tarifaire'!$E$8+0.2*'Grille tarifaire'!$F$8)</f>
        <v>4455</v>
      </c>
      <c r="D19" s="18" t="n">
        <f aca="false">B19*(0.3*$C$9+0.5*$D$9+0.2*$E$9)</f>
        <v>1691</v>
      </c>
      <c r="E19" s="18" t="n">
        <f aca="false">-($C$13)</f>
        <v>-270</v>
      </c>
      <c r="F19" s="24" t="n">
        <f aca="false">D19+E19</f>
        <v>1421</v>
      </c>
    </row>
    <row r="20" customFormat="false" ht="15" hidden="false" customHeight="false" outlineLevel="0" collapsed="false">
      <c r="B20" s="23" t="n">
        <v>10</v>
      </c>
      <c r="C20" s="18" t="n">
        <f aca="false">B20*(0.3*'Grille tarifaire'!$D$8+0.5*'Grille tarifaire'!$E$8+0.2*'Grille tarifaire'!$F$8)</f>
        <v>8910</v>
      </c>
      <c r="D20" s="18" t="n">
        <f aca="false">B20*(0.3*$C$9+0.5*$D$9+0.2*$E$9)</f>
        <v>3382</v>
      </c>
      <c r="E20" s="18" t="n">
        <f aca="false">-($C$13)</f>
        <v>-270</v>
      </c>
      <c r="F20" s="24" t="n">
        <f aca="false">D20+E20</f>
        <v>3112</v>
      </c>
    </row>
    <row r="21" customFormat="false" ht="15" hidden="false" customHeight="false" outlineLevel="0" collapsed="false">
      <c r="B21" s="23" t="n">
        <v>20</v>
      </c>
      <c r="C21" s="18" t="n">
        <f aca="false">B21*(0.3*'Grille tarifaire'!$D$8+0.5*'Grille tarifaire'!$E$8+0.2*'Grille tarifaire'!$F$8)</f>
        <v>17820</v>
      </c>
      <c r="D21" s="18" t="n">
        <f aca="false">B21*(0.3*$C$9+0.5*$D$9+0.2*$E$9)</f>
        <v>6764</v>
      </c>
      <c r="E21" s="18" t="n">
        <f aca="false">-($C$13)</f>
        <v>-270</v>
      </c>
      <c r="F21" s="24" t="n">
        <f aca="false">D21+E21</f>
        <v>6494</v>
      </c>
    </row>
    <row r="22" customFormat="false" ht="15" hidden="false" customHeight="false" outlineLevel="0" collapsed="false">
      <c r="B22" s="23" t="n">
        <v>30</v>
      </c>
      <c r="C22" s="18" t="n">
        <f aca="false">B22*(0.3*'Grille tarifaire'!$D$8+0.5*'Grille tarifaire'!$E$8+0.2*'Grille tarifaire'!$F$8)</f>
        <v>26730</v>
      </c>
      <c r="D22" s="18" t="n">
        <f aca="false">B22*(0.3*$C$9+0.5*$D$9+0.2*$E$9)</f>
        <v>10146</v>
      </c>
      <c r="E22" s="18" t="n">
        <f aca="false">-($C$13)</f>
        <v>-270</v>
      </c>
      <c r="F22" s="24" t="n">
        <f aca="false">D22+E22</f>
        <v>9876</v>
      </c>
    </row>
    <row r="24" customFormat="false" ht="15" hidden="false" customHeight="false" outlineLevel="0" collapsed="false">
      <c r="B24" s="7" t="s">
        <v>66</v>
      </c>
    </row>
  </sheetData>
  <mergeCells count="3">
    <mergeCell ref="B2:F2"/>
    <mergeCell ref="B12:F12"/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6" min="3" style="0" width="15"/>
  </cols>
  <sheetData>
    <row r="2" customFormat="false" ht="25.5" hidden="false" customHeight="true" outlineLevel="0" collapsed="false">
      <c r="B2" s="1" t="s">
        <v>67</v>
      </c>
      <c r="C2" s="1"/>
      <c r="D2" s="1"/>
      <c r="E2" s="1"/>
      <c r="F2" s="1"/>
    </row>
    <row r="4" customFormat="false" ht="15" hidden="false" customHeight="false" outlineLevel="0" collapsed="false">
      <c r="B4" s="3" t="s">
        <v>68</v>
      </c>
      <c r="C4" s="25" t="n">
        <f aca="false">Hypothèses!C7*Hypothèses!C12</f>
        <v>25.3825</v>
      </c>
    </row>
    <row r="6" customFormat="false" ht="15" hidden="false" customHeight="false" outlineLevel="0" collapsed="false">
      <c r="B6" s="9" t="s">
        <v>69</v>
      </c>
      <c r="C6" s="9" t="s">
        <v>70</v>
      </c>
      <c r="D6" s="9" t="s">
        <v>71</v>
      </c>
      <c r="E6" s="9" t="s">
        <v>72</v>
      </c>
      <c r="F6" s="9" t="s">
        <v>73</v>
      </c>
    </row>
    <row r="7" customFormat="false" ht="15" hidden="false" customHeight="false" outlineLevel="0" collapsed="false">
      <c r="B7" s="10" t="n">
        <v>1</v>
      </c>
      <c r="C7" s="10" t="n">
        <f aca="false">B7*Hypothèses!$C$22</f>
        <v>20</v>
      </c>
      <c r="D7" s="18" t="n">
        <f aca="false">C7*$C$4</f>
        <v>507.65</v>
      </c>
      <c r="E7" s="18" t="n">
        <f aca="false">-D7*Hypothèses!$C$13</f>
        <v>-133.0043</v>
      </c>
      <c r="F7" s="24" t="n">
        <f aca="false">D7+E7</f>
        <v>374.6457</v>
      </c>
    </row>
    <row r="8" customFormat="false" ht="15" hidden="false" customHeight="false" outlineLevel="0" collapsed="false">
      <c r="B8" s="10" t="n">
        <v>2</v>
      </c>
      <c r="C8" s="10" t="n">
        <f aca="false">B8*Hypothèses!$C$22</f>
        <v>40</v>
      </c>
      <c r="D8" s="18" t="n">
        <f aca="false">C8*$C$4</f>
        <v>1015.3</v>
      </c>
      <c r="E8" s="18" t="n">
        <f aca="false">-D8*Hypothèses!$C$13</f>
        <v>-266.0086</v>
      </c>
      <c r="F8" s="24" t="n">
        <f aca="false">D8+E8</f>
        <v>749.2914</v>
      </c>
    </row>
    <row r="9" customFormat="false" ht="15" hidden="false" customHeight="false" outlineLevel="0" collapsed="false">
      <c r="B9" s="10" t="n">
        <v>3</v>
      </c>
      <c r="C9" s="10" t="n">
        <f aca="false">B9*Hypothèses!$C$22</f>
        <v>60</v>
      </c>
      <c r="D9" s="18" t="n">
        <f aca="false">C9*$C$4</f>
        <v>1522.95</v>
      </c>
      <c r="E9" s="18" t="n">
        <f aca="false">-D9*Hypothèses!$C$13</f>
        <v>-399.0129</v>
      </c>
      <c r="F9" s="24" t="n">
        <f aca="false">D9+E9</f>
        <v>1123.9371</v>
      </c>
    </row>
    <row r="10" customFormat="false" ht="15" hidden="false" customHeight="false" outlineLevel="0" collapsed="false">
      <c r="B10" s="10" t="n">
        <v>5</v>
      </c>
      <c r="C10" s="10" t="n">
        <f aca="false">B10*Hypothèses!$C$22</f>
        <v>100</v>
      </c>
      <c r="D10" s="18" t="n">
        <f aca="false">C10*$C$4</f>
        <v>2538.25</v>
      </c>
      <c r="E10" s="18" t="n">
        <f aca="false">-D10*Hypothèses!$C$13</f>
        <v>-665.0215</v>
      </c>
      <c r="F10" s="24" t="n">
        <f aca="false">D10+E10</f>
        <v>1873.2285</v>
      </c>
    </row>
    <row r="11" customFormat="false" ht="15" hidden="false" customHeight="false" outlineLevel="0" collapsed="false">
      <c r="B11" s="10" t="n">
        <v>7</v>
      </c>
      <c r="C11" s="10" t="n">
        <f aca="false">B11*Hypothèses!$C$22</f>
        <v>140</v>
      </c>
      <c r="D11" s="18" t="n">
        <f aca="false">C11*$C$4</f>
        <v>3553.55</v>
      </c>
      <c r="E11" s="18" t="n">
        <f aca="false">-D11*Hypothèses!$C$13</f>
        <v>-931.0301</v>
      </c>
      <c r="F11" s="24" t="n">
        <f aca="false">D11+E11</f>
        <v>2622.5199</v>
      </c>
    </row>
    <row r="13" customFormat="false" ht="15" hidden="false" customHeight="false" outlineLevel="0" collapsed="false">
      <c r="B13" s="7" t="s">
        <v>74</v>
      </c>
    </row>
    <row r="14" customFormat="false" ht="15" hidden="false" customHeight="false" outlineLevel="0" collapsed="false">
      <c r="B14" s="7" t="s">
        <v>75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2026-08-12T14:36:30Z</dcterms:created>
  <dc:creator>openpyxl</dc:creator>
  <dc:description/>
  <dc:language>en-US</dc:language>
  <cp:lastModifiedBy/>
  <dcterms:modified xsi:type="dcterms:W3CDTF">2026-08-12T14:36:30Z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